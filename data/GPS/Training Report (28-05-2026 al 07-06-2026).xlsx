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ib" sheetId="1" r:id="rId5"/>
    <sheet state="visible" name="_synced_data" sheetId="2" r:id="rId6"/>
    <sheet state="visible" name="pivots" sheetId="3" r:id="rId7"/>
    <sheet state="visible" name="bigstat" sheetId="4" r:id="rId8"/>
    <sheet state="visible" name="Training Report" sheetId="5" r:id="rId9"/>
  </sheets>
  <definedNames/>
  <calcPr/>
  <pivotCaches>
    <pivotCache cacheId="0" r:id="rId10"/>
    <pivotCache cacheId="1" r:id="rId11"/>
  </pivotCaches>
</workbook>
</file>

<file path=xl/sharedStrings.xml><?xml version="1.0" encoding="utf-8"?>
<sst xmlns="http://schemas.openxmlformats.org/spreadsheetml/2006/main" count="177" uniqueCount="45">
  <si>
    <t>eJy9lW1P2zAQx7+K5ddTm3ale3hXGEJCqMrUSZtAqHLsywN17GA7LaXqd8c2YXLCeOgk8iq5y//ufndnKzvMiAGNv6MdNtI/nMO+4HE0nkbT6Av+hPCacOfiTmvw3npSJcvn8qPxJJAbRQq+HC83ACu8d1HV2tA0c+Wudo2xLJjTJiLKJmlO73w9Knkjsm+N4j5jN+5bRUzubF/Y2mZbQWgLUnr7R2PXojDOdthhPrIxrXw+LshXcbIFFWaMvQfNG+FLiW+SW9MCKbQhgvqYRNU69/O+uramAlZTLzLSxxiSMUgfE42mk28j6wNRl9bjg7C2wdcBdSX1gBU6BLc5Qryy6ALO45l0ikIvM7+8lHANH0XHJXuFLhzUWbxAF5KwLu9CS3UYb0nu/ptXV2zwFP/SRId562D8khVaVADPyNfZ5muL3Kj6wwZ9L2AwfeMwbBULwT00upQCNEJ/z2mniZP1KfTcBBXmnWem1cGJrIXp4o9+Rove8KtEsMHosCXEoLQUhKNjItgre0jOZ6d9N/L+RXS7+Ocujs/lZX83mVD61k0e6qFud0FWaEYp8C56Hv9Je5u+JXcX4fMB8/fQnYvg0lJegDCP9UXNuXc+Bc1hg35LtUqkXDX/Xd78z12p/QPoEmd2</t>
  </si>
  <si>
    <t/>
  </si>
  <si>
    <t>DO NOT EDIT THIS SHEET</t>
  </si>
  <si>
    <t>Date</t>
  </si>
  <si>
    <t>Player Name</t>
  </si>
  <si>
    <t>Distance</t>
  </si>
  <si>
    <t>GPS Load</t>
  </si>
  <si>
    <t>Top Speed</t>
  </si>
  <si>
    <t>Speed Zones  Distance</t>
  </si>
  <si>
    <t>Speed Zones  Count</t>
  </si>
  <si>
    <t>Personal Bands  Distance</t>
  </si>
  <si>
    <t>Personal Bands  Count</t>
  </si>
  <si>
    <t>Peak Accel</t>
  </si>
  <si>
    <t>Accel Zones  Count</t>
  </si>
  <si>
    <t>Nahuel Masciotra</t>
  </si>
  <si>
    <t>Oscar Melendez</t>
  </si>
  <si>
    <t>Gonzalo Carrozza</t>
  </si>
  <si>
    <t>Valentino Baldivia</t>
  </si>
  <si>
    <t>Rafael Zeni</t>
  </si>
  <si>
    <t>Seastian Munoz</t>
  </si>
  <si>
    <t>Alejandro Gomez</t>
  </si>
  <si>
    <t xml:space="preserve">Platero </t>
  </si>
  <si>
    <t>Lucas Appiolazza</t>
  </si>
  <si>
    <t xml:space="preserve">Ruben </t>
  </si>
  <si>
    <t>Franco Soldati</t>
  </si>
  <si>
    <t>Javi Perez</t>
  </si>
  <si>
    <t>Leonel Miguelez</t>
  </si>
  <si>
    <t>Vladimir Covalschi</t>
  </si>
  <si>
    <t>Johan Viedma</t>
  </si>
  <si>
    <t>Matias Saitta</t>
  </si>
  <si>
    <t>AVERAGE of Distance</t>
  </si>
  <si>
    <t>MAX of Top Speed</t>
  </si>
  <si>
    <t>AVERAGE of Speed Zones  Distance</t>
  </si>
  <si>
    <t>AVERAGE of Speed Zones  Count</t>
  </si>
  <si>
    <t>AVERAGE of Personal Bands  Distance</t>
  </si>
  <si>
    <t>SUM of Personal Bands  Count</t>
  </si>
  <si>
    <t>AVERAGE</t>
  </si>
  <si>
    <t>TOTAL</t>
  </si>
  <si>
    <t xml:space="preserve"> Training Report</t>
  </si>
  <si>
    <t>Total Distance</t>
  </si>
  <si>
    <t>Avg Distance</t>
  </si>
  <si>
    <t>Total HSR (yrd)</t>
  </si>
  <si>
    <t>Avg HSR (yrd)</t>
  </si>
  <si>
    <t>Total Personal HSR (cnt)</t>
  </si>
  <si>
    <t>Avg Personal HSR (cnt)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</si>
</sst>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  <scheme val="minor"/>
    </font>
    <font>
      <b/>
      <sz val="17.0"/>
      <color theme="1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color rgb="FF232A31"/>
      <name val="Arial"/>
      <scheme val="minor"/>
    </font>
    <font>
      <b/>
      <color theme="1"/>
      <name val="Arial"/>
      <scheme val="minor"/>
    </font>
    <font>
      <sz val="30.0"/>
      <color rgb="FF000000"/>
      <name val="Arial"/>
    </font>
    <font>
      <sz val="22.0"/>
      <color theme="1"/>
      <name val="Squada One"/>
    </font>
    <font>
      <sz val="22.0"/>
      <color theme="0"/>
      <name val="Squada One"/>
    </font>
    <font>
      <b/>
      <sz val="18.0"/>
      <color theme="1"/>
      <name val="Arial"/>
      <scheme val="minor"/>
    </font>
    <font>
      <b/>
      <sz val="15.0"/>
      <color rgb="FF232A31"/>
      <name val="Arial"/>
      <scheme val="minor"/>
    </font>
    <font/>
    <font>
      <sz val="14.0"/>
      <color rgb="FF232A3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0000"/>
        <bgColor rgb="FF000000"/>
      </patternFill>
    </fill>
  </fills>
  <borders count="32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left style="thin">
        <color rgb="FF232A31"/>
      </left>
      <top style="thin">
        <color rgb="FF232A31"/>
      </top>
    </border>
    <border>
      <right style="thin">
        <color rgb="FF232A31"/>
      </right>
      <top style="thin">
        <color rgb="FF232A31"/>
      </top>
    </border>
    <border>
      <top style="thin">
        <color rgb="FF232A31"/>
      </top>
    </border>
    <border>
      <right style="thin">
        <color rgb="FF4E555A"/>
      </right>
      <top style="thin">
        <color rgb="FF232A31"/>
      </top>
    </border>
    <border>
      <left style="thin">
        <color rgb="FF4E555A"/>
      </left>
      <top style="thin">
        <color rgb="FF232A31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</border>
    <border>
      <left style="thin">
        <color rgb="FF232A31"/>
      </left>
      <bottom style="thin">
        <color rgb="FF232A31"/>
      </bottom>
    </border>
    <border>
      <right style="thin">
        <color rgb="FF232A31"/>
      </right>
      <bottom style="thin">
        <color rgb="FF232A31"/>
      </bottom>
    </border>
    <border>
      <bottom style="thin">
        <color rgb="FF232A31"/>
      </bottom>
    </border>
    <border>
      <right style="thin">
        <color rgb="FF4E555A"/>
      </right>
      <bottom style="thin">
        <color rgb="FF232A31"/>
      </bottom>
    </border>
    <border>
      <left style="thin">
        <color rgb="FF4E555A"/>
      </left>
      <bottom style="thin">
        <color rgb="FF232A31"/>
      </bottom>
    </border>
    <border>
      <right style="thin">
        <color rgb="FFFFFFFF"/>
      </right>
    </border>
    <border>
      <left style="thin">
        <color rgb="FF232A31"/>
      </left>
    </border>
    <border>
      <right style="thin">
        <color rgb="FF232A31"/>
      </right>
    </border>
    <border>
      <right style="thin">
        <color rgb="FF4E555A"/>
      </right>
    </border>
    <border>
      <left style="thin">
        <color rgb="FF4E555A"/>
      </left>
    </border>
    <border>
      <bottom style="thin">
        <color rgb="FF4E555A"/>
      </bottom>
    </border>
    <border>
      <right style="thin">
        <color rgb="FF4E555A"/>
      </right>
      <bottom style="thin">
        <color rgb="FF4E555A"/>
      </bottom>
    </border>
    <border>
      <left style="thin">
        <color rgb="FF4E555A"/>
      </left>
      <bottom style="thin">
        <color rgb="FF4E555A"/>
      </bottom>
    </border>
    <border>
      <right style="thin">
        <color rgb="FFFFFFFF"/>
      </right>
      <bottom style="thin">
        <color rgb="FFFFFFFF"/>
      </bottom>
    </border>
    <border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3" numFmtId="164" xfId="0" applyFont="1" applyNumberFormat="1"/>
    <xf borderId="0" fillId="0" fontId="4" numFmtId="0" xfId="0" applyFont="1"/>
    <xf borderId="0" fillId="0" fontId="4" numFmtId="0" xfId="0" applyAlignment="1" applyFont="1">
      <alignment horizontal="left"/>
    </xf>
    <xf borderId="0" fillId="0" fontId="4" numFmtId="0" xfId="0" applyAlignment="1" applyFont="1">
      <alignment horizontal="right"/>
    </xf>
    <xf borderId="1" fillId="0" fontId="4" numFmtId="0" xfId="0" applyBorder="1" applyFont="1"/>
    <xf borderId="2" fillId="0" fontId="4" numFmtId="0" xfId="0" applyBorder="1" applyFont="1"/>
    <xf borderId="0" fillId="2" fontId="4" numFmtId="0" xfId="0" applyFill="1" applyFont="1"/>
    <xf borderId="1" fillId="0" fontId="4" numFmtId="0" xfId="0" applyAlignment="1" applyBorder="1" applyFont="1">
      <alignment horizontal="left"/>
    </xf>
    <xf borderId="2" fillId="0" fontId="4" numFmtId="0" xfId="0" applyAlignment="1" applyBorder="1" applyFont="1">
      <alignment horizontal="right"/>
    </xf>
    <xf borderId="3" fillId="0" fontId="4" numFmtId="0" xfId="0" applyBorder="1" applyFont="1"/>
    <xf borderId="4" fillId="0" fontId="4" numFmtId="0" xfId="0" applyBorder="1" applyFont="1"/>
    <xf borderId="0" fillId="2" fontId="4" numFmtId="0" xfId="0" applyAlignment="1" applyFont="1">
      <alignment horizontal="left"/>
    </xf>
    <xf borderId="0" fillId="0" fontId="4" numFmtId="0" xfId="0" applyAlignment="1" applyFont="1">
      <alignment horizontal="center" readingOrder="0"/>
    </xf>
    <xf borderId="3" fillId="0" fontId="4" numFmtId="0" xfId="0" applyAlignment="1" applyBorder="1" applyFont="1">
      <alignment horizontal="left" readingOrder="0"/>
    </xf>
    <xf borderId="4" fillId="0" fontId="4" numFmtId="0" xfId="0" applyAlignment="1" applyBorder="1" applyFont="1">
      <alignment horizontal="right" readingOrder="0"/>
    </xf>
    <xf borderId="0" fillId="0" fontId="4" numFmtId="1" xfId="0" applyAlignment="1" applyFont="1" applyNumberFormat="1">
      <alignment horizontal="center"/>
    </xf>
    <xf borderId="3" fillId="0" fontId="4" numFmtId="1" xfId="0" applyAlignment="1" applyBorder="1" applyFont="1" applyNumberFormat="1">
      <alignment horizontal="left"/>
    </xf>
    <xf borderId="4" fillId="0" fontId="4" numFmtId="1" xfId="0" applyAlignment="1" applyBorder="1" applyFont="1" applyNumberFormat="1">
      <alignment horizontal="right"/>
    </xf>
    <xf borderId="0" fillId="0" fontId="4" numFmtId="0" xfId="0" applyAlignment="1" applyFont="1">
      <alignment horizontal="center"/>
    </xf>
    <xf borderId="3" fillId="0" fontId="4" numFmtId="0" xfId="0" applyAlignment="1" applyBorder="1" applyFont="1">
      <alignment horizontal="left"/>
    </xf>
    <xf borderId="4" fillId="0" fontId="4" numFmtId="0" xfId="0" applyAlignment="1" applyBorder="1" applyFont="1">
      <alignment horizontal="right"/>
    </xf>
    <xf borderId="5" fillId="0" fontId="4" numFmtId="0" xfId="0" applyBorder="1" applyFont="1"/>
    <xf borderId="6" fillId="0" fontId="4" numFmtId="0" xfId="0" applyBorder="1" applyFont="1"/>
    <xf borderId="5" fillId="0" fontId="4" numFmtId="0" xfId="0" applyAlignment="1" applyBorder="1" applyFont="1">
      <alignment horizontal="left"/>
    </xf>
    <xf borderId="6" fillId="0" fontId="4" numFmtId="0" xfId="0" applyAlignment="1" applyBorder="1" applyFont="1">
      <alignment horizontal="right"/>
    </xf>
    <xf borderId="0" fillId="0" fontId="5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6" numFmtId="0" xfId="0" applyAlignment="1" applyFont="1">
      <alignment horizontal="center" readingOrder="0" vertical="center"/>
    </xf>
    <xf borderId="0" fillId="3" fontId="3" numFmtId="0" xfId="0" applyFill="1" applyFont="1"/>
    <xf borderId="0" fillId="3" fontId="7" numFmtId="0" xfId="0" applyFont="1"/>
    <xf borderId="0" fillId="0" fontId="8" numFmtId="0" xfId="0" applyFont="1"/>
    <xf borderId="7" fillId="2" fontId="9" numFmtId="0" xfId="0" applyAlignment="1" applyBorder="1" applyFont="1">
      <alignment horizontal="center" readingOrder="0" vertical="center"/>
    </xf>
    <xf borderId="8" fillId="2" fontId="10" numFmtId="0" xfId="0" applyAlignment="1" applyBorder="1" applyFont="1">
      <alignment horizontal="center" readingOrder="0" vertical="center"/>
    </xf>
    <xf borderId="9" fillId="0" fontId="11" numFmtId="0" xfId="0" applyBorder="1" applyFont="1"/>
    <xf borderId="10" fillId="2" fontId="10" numFmtId="0" xfId="0" applyAlignment="1" applyBorder="1" applyFont="1">
      <alignment horizontal="center" readingOrder="0" vertical="center"/>
    </xf>
    <xf borderId="11" fillId="0" fontId="11" numFmtId="0" xfId="0" applyBorder="1" applyFont="1"/>
    <xf borderId="12" fillId="2" fontId="10" numFmtId="0" xfId="0" applyAlignment="1" applyBorder="1" applyFont="1">
      <alignment horizontal="center" readingOrder="0" vertical="center"/>
    </xf>
    <xf borderId="13" fillId="2" fontId="9" numFmtId="0" xfId="0" applyAlignment="1" applyBorder="1" applyFont="1">
      <alignment horizontal="center" readingOrder="0" vertical="center"/>
    </xf>
    <xf borderId="14" fillId="0" fontId="11" numFmtId="0" xfId="0" applyBorder="1" applyFont="1"/>
    <xf borderId="15" fillId="0" fontId="11" numFmtId="0" xfId="0" applyBorder="1" applyFont="1"/>
    <xf borderId="16" fillId="0" fontId="11" numFmtId="0" xfId="0" applyBorder="1" applyFont="1"/>
    <xf borderId="17" fillId="0" fontId="11" numFmtId="0" xfId="0" applyBorder="1" applyFont="1"/>
    <xf borderId="18" fillId="0" fontId="11" numFmtId="0" xfId="0" applyBorder="1" applyFont="1"/>
    <xf borderId="19" fillId="0" fontId="11" numFmtId="0" xfId="0" applyBorder="1" applyFont="1"/>
    <xf borderId="20" fillId="0" fontId="11" numFmtId="0" xfId="0" applyBorder="1" applyFont="1"/>
    <xf borderId="21" fillId="2" fontId="12" numFmtId="0" xfId="0" applyAlignment="1" applyBorder="1" applyFont="1">
      <alignment horizontal="center" readingOrder="0" vertical="center"/>
    </xf>
    <xf borderId="22" fillId="0" fontId="11" numFmtId="0" xfId="0" applyBorder="1" applyFont="1"/>
    <xf borderId="0" fillId="2" fontId="12" numFmtId="0" xfId="0" applyAlignment="1" applyFont="1">
      <alignment horizontal="center" vertical="center"/>
    </xf>
    <xf borderId="23" fillId="0" fontId="11" numFmtId="0" xfId="0" applyBorder="1" applyFont="1"/>
    <xf borderId="24" fillId="2" fontId="12" numFmtId="0" xfId="0" applyAlignment="1" applyBorder="1" applyFont="1">
      <alignment horizontal="center" vertical="center"/>
    </xf>
    <xf borderId="25" fillId="0" fontId="11" numFmtId="0" xfId="0" applyBorder="1" applyFont="1"/>
    <xf borderId="26" fillId="0" fontId="11" numFmtId="0" xfId="0" applyBorder="1" applyFont="1"/>
    <xf borderId="27" fillId="0" fontId="11" numFmtId="0" xfId="0" applyBorder="1" applyFont="1"/>
    <xf borderId="28" fillId="0" fontId="11" numFmtId="0" xfId="0" applyBorder="1" applyFont="1"/>
    <xf borderId="7" fillId="0" fontId="8" numFmtId="0" xfId="0" applyBorder="1" applyFont="1"/>
    <xf borderId="29" fillId="0" fontId="11" numFmtId="0" xfId="0" applyBorder="1" applyFont="1"/>
    <xf borderId="13" fillId="0" fontId="11" numFmtId="0" xfId="0" applyBorder="1" applyFont="1"/>
    <xf borderId="30" fillId="0" fontId="11" numFmtId="0" xfId="0" applyBorder="1" applyFont="1"/>
    <xf borderId="31" fillId="0" fontId="11" numFmtId="0" xfId="0" applyBorder="1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>
        <color rgb="FF000000"/>
      </font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</dxfs>
  <tableStyles count="1">
    <tableStyle count="12" table="0" name="Google Sheets Pivot Table Style">
      <tableStyleElement dxfId="1" type="wholeTable"/>
      <tableStyleElement dxfId="2" type="firstRowSubheading"/>
      <tableStyleElement dxfId="2" type="secondRowSubheading"/>
      <tableStyleElement dxfId="2" type="thirdRowSubheading"/>
      <tableStyleElement dxfId="3" type="firstColumnSubheading"/>
      <tableStyleElement dxfId="3" type="secondColumnSubheading"/>
      <tableStyleElement dxfId="3" type="thirdColumnSubheading"/>
      <tableStyleElement dxfId="3" type="headerRow"/>
      <tableStyleElement dxfId="4" type="firstSubtotalRow"/>
      <tableStyleElement dxfId="4" type="secondSubtotalRow"/>
      <tableStyleElement dxfId="4" type="thirdSubtotalRow"/>
      <tableStyleElement dxfId="5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232A31"/>
                </a:solidFill>
                <a:latin typeface="+mn-lt"/>
              </a:defRPr>
            </a:pPr>
            <a:r>
              <a:rPr b="1">
                <a:solidFill>
                  <a:srgbClr val="232A31"/>
                </a:solidFill>
                <a:latin typeface="+mn-lt"/>
              </a:rPr>
              <a:t>Distance (mi)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pivots!$B$2</c:f>
            </c:strRef>
          </c:tx>
          <c:spPr>
            <a:solidFill>
              <a:srgbClr val="FF6300"/>
            </a:solidFill>
            <a:ln cmpd="sng" w="38100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232A31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pivots!$A$3:$A$32</c:f>
            </c:strRef>
          </c:cat>
          <c:val>
            <c:numRef>
              <c:f>pivots!$B$3:$B$32</c:f>
              <c:numCache/>
            </c:numRef>
          </c:val>
        </c:ser>
        <c:axId val="1870710201"/>
        <c:axId val="1777195158"/>
      </c:barChart>
      <c:catAx>
        <c:axId val="18707102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32A31"/>
                </a:solidFill>
                <a:latin typeface="+mn-lt"/>
              </a:defRPr>
            </a:pPr>
          </a:p>
        </c:txPr>
        <c:crossAx val="1777195158"/>
      </c:catAx>
      <c:valAx>
        <c:axId val="17771951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32A31"/>
                </a:solidFill>
                <a:latin typeface="+mn-lt"/>
              </a:defRPr>
            </a:pPr>
          </a:p>
        </c:txPr>
        <c:crossAx val="18707102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232A31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232A31"/>
                </a:solidFill>
                <a:latin typeface="+mn-lt"/>
              </a:defRPr>
            </a:pPr>
            <a:r>
              <a:rPr b="1">
                <a:solidFill>
                  <a:srgbClr val="232A31"/>
                </a:solidFill>
                <a:latin typeface="+mn-lt"/>
              </a:rPr>
              <a:t>Top Speed (mi/hr)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pivots!$E$2</c:f>
            </c:strRef>
          </c:tx>
          <c:spPr>
            <a:solidFill>
              <a:srgbClr val="B1BCC4"/>
            </a:solidFill>
            <a:ln cmpd="sng" w="38100">
              <a:noFill/>
            </a:ln>
          </c:spPr>
          <c:dPt>
            <c:idx val="10"/>
          </c:dPt>
          <c:dPt>
            <c:idx val="11"/>
          </c:dPt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232A31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pivots!$D$3:$D$32</c:f>
            </c:strRef>
          </c:cat>
          <c:val>
            <c:numRef>
              <c:f>pivots!$E$3:$E$32</c:f>
              <c:numCache/>
            </c:numRef>
          </c:val>
        </c:ser>
        <c:axId val="621043524"/>
        <c:axId val="946415165"/>
      </c:barChart>
      <c:catAx>
        <c:axId val="6210435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32A31"/>
                </a:solidFill>
                <a:latin typeface="+mn-lt"/>
              </a:defRPr>
            </a:pPr>
          </a:p>
        </c:txPr>
        <c:crossAx val="946415165"/>
      </c:catAx>
      <c:valAx>
        <c:axId val="9464151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32A31"/>
                </a:solidFill>
                <a:latin typeface="+mn-lt"/>
              </a:defRPr>
            </a:pPr>
          </a:p>
        </c:txPr>
        <c:crossAx val="6210435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232A31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232A31"/>
                </a:solidFill>
                <a:latin typeface="+mn-lt"/>
              </a:defRPr>
            </a:pPr>
            <a:r>
              <a:rPr b="1">
                <a:solidFill>
                  <a:srgbClr val="232A31"/>
                </a:solidFill>
                <a:latin typeface="+mn-lt"/>
              </a:rPr>
              <a:t>High Speed Running  (yards)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pivots!$H$2</c:f>
            </c:strRef>
          </c:tx>
          <c:spPr>
            <a:solidFill>
              <a:srgbClr val="0A93F5"/>
            </a:solidFill>
            <a:ln cmpd="sng" w="38100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232A31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pivots!$G$3:$G$32</c:f>
            </c:strRef>
          </c:cat>
          <c:val>
            <c:numRef>
              <c:f>pivots!$H$3:$H$32</c:f>
              <c:numCache/>
            </c:numRef>
          </c:val>
        </c:ser>
        <c:axId val="951022370"/>
        <c:axId val="858958665"/>
      </c:barChart>
      <c:catAx>
        <c:axId val="95102237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32A31"/>
                </a:solidFill>
                <a:latin typeface="+mn-lt"/>
              </a:defRPr>
            </a:pPr>
          </a:p>
        </c:txPr>
        <c:crossAx val="858958665"/>
      </c:catAx>
      <c:valAx>
        <c:axId val="85895866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32A31"/>
                </a:solidFill>
                <a:latin typeface="+mn-lt"/>
              </a:defRPr>
            </a:pPr>
          </a:p>
        </c:txPr>
        <c:crossAx val="95102237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232A31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232A31"/>
                </a:solidFill>
                <a:latin typeface="+mn-lt"/>
              </a:defRPr>
            </a:pPr>
            <a:r>
              <a:rPr b="1">
                <a:solidFill>
                  <a:srgbClr val="232A31"/>
                </a:solidFill>
                <a:latin typeface="+mn-lt"/>
              </a:rPr>
              <a:t>High Speed Running (count)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pivots!$K$2</c:f>
            </c:strRef>
          </c:tx>
          <c:spPr>
            <a:solidFill>
              <a:srgbClr val="FF9200"/>
            </a:solidFill>
            <a:ln cmpd="sng" w="38100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232A31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pivots!$J$3:$J$32</c:f>
            </c:strRef>
          </c:cat>
          <c:val>
            <c:numRef>
              <c:f>pivots!$K$3:$K$32</c:f>
              <c:numCache/>
            </c:numRef>
          </c:val>
        </c:ser>
        <c:axId val="1284162961"/>
        <c:axId val="2055415665"/>
      </c:barChart>
      <c:catAx>
        <c:axId val="128416296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32A31"/>
                </a:solidFill>
                <a:latin typeface="+mn-lt"/>
              </a:defRPr>
            </a:pPr>
          </a:p>
        </c:txPr>
        <c:crossAx val="2055415665"/>
      </c:catAx>
      <c:valAx>
        <c:axId val="205541566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32A31"/>
                </a:solidFill>
                <a:latin typeface="+mn-lt"/>
              </a:defRPr>
            </a:pPr>
          </a:p>
        </c:txPr>
        <c:crossAx val="128416296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232A31"/>
                </a:solidFill>
                <a:latin typeface="+mn-lt"/>
              </a:defRPr>
            </a:pPr>
            <a:r>
              <a:rPr b="1">
                <a:solidFill>
                  <a:srgbClr val="232A31"/>
                </a:solidFill>
                <a:latin typeface="+mn-lt"/>
              </a:rPr>
              <a:t>Distance &gt; 80% of PR (yards)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pivots!$N$2</c:f>
            </c:strRef>
          </c:tx>
          <c:spPr>
            <a:solidFill>
              <a:srgbClr val="FF5000"/>
            </a:solidFill>
            <a:ln cmpd="sng" w="38100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232A31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pivots!$M$3:$M$32</c:f>
            </c:strRef>
          </c:cat>
          <c:val>
            <c:numRef>
              <c:f>pivots!$N$3:$N$32</c:f>
              <c:numCache/>
            </c:numRef>
          </c:val>
        </c:ser>
        <c:axId val="770972692"/>
        <c:axId val="2072992965"/>
      </c:barChart>
      <c:catAx>
        <c:axId val="77097269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32A31"/>
                </a:solidFill>
                <a:latin typeface="+mn-lt"/>
              </a:defRPr>
            </a:pPr>
          </a:p>
        </c:txPr>
        <c:crossAx val="2072992965"/>
      </c:catAx>
      <c:valAx>
        <c:axId val="207299296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32A31"/>
                </a:solidFill>
                <a:latin typeface="+mn-lt"/>
              </a:defRPr>
            </a:pPr>
          </a:p>
        </c:txPr>
        <c:crossAx val="77097269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232A31"/>
                </a:solidFill>
                <a:latin typeface="+mn-lt"/>
              </a:defRPr>
            </a:pPr>
            <a:r>
              <a:rPr b="1">
                <a:solidFill>
                  <a:srgbClr val="232A31"/>
                </a:solidFill>
                <a:latin typeface="+mn-lt"/>
              </a:rPr>
              <a:t>Distance &gt; 80% of PR (count)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pivots!$Q$2</c:f>
            </c:strRef>
          </c:tx>
          <c:spPr>
            <a:solidFill>
              <a:srgbClr val="0573E3"/>
            </a:solidFill>
            <a:ln cmpd="sng" w="38100">
              <a:noFill/>
            </a:ln>
          </c:spPr>
          <c:dPt>
            <c:idx val="4"/>
          </c:dPt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232A31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pivots!$P$3:$P$32</c:f>
            </c:strRef>
          </c:cat>
          <c:val>
            <c:numRef>
              <c:f>pivots!$Q$3:$Q$32</c:f>
              <c:numCache/>
            </c:numRef>
          </c:val>
        </c:ser>
        <c:axId val="1909729675"/>
        <c:axId val="1266309115"/>
      </c:barChart>
      <c:catAx>
        <c:axId val="190972967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32A31"/>
                </a:solidFill>
                <a:latin typeface="+mn-lt"/>
              </a:defRPr>
            </a:pPr>
          </a:p>
        </c:txPr>
        <c:crossAx val="1266309115"/>
      </c:catAx>
      <c:valAx>
        <c:axId val="126630911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32A31"/>
                </a:solidFill>
                <a:latin typeface="+mn-lt"/>
              </a:defRPr>
            </a:pPr>
          </a:p>
        </c:txPr>
        <c:crossAx val="190972967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image" Target="../media/image2.png"/><Relationship Id="rId8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13</xdr:row>
      <xdr:rowOff>123825</xdr:rowOff>
    </xdr:from>
    <xdr:ext cx="13477875" cy="30765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28</xdr:row>
      <xdr:rowOff>180975</xdr:rowOff>
    </xdr:from>
    <xdr:ext cx="13477875" cy="30765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43</xdr:row>
      <xdr:rowOff>161925</xdr:rowOff>
    </xdr:from>
    <xdr:ext cx="6715125" cy="44481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704850</xdr:colOff>
      <xdr:row>43</xdr:row>
      <xdr:rowOff>161925</xdr:rowOff>
    </xdr:from>
    <xdr:ext cx="6753225" cy="44481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65</xdr:row>
      <xdr:rowOff>142875</xdr:rowOff>
    </xdr:from>
    <xdr:ext cx="6715125" cy="41719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7</xdr:col>
      <xdr:colOff>704850</xdr:colOff>
      <xdr:row>65</xdr:row>
      <xdr:rowOff>142875</xdr:rowOff>
    </xdr:from>
    <xdr:ext cx="6753225" cy="417195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</xdr:col>
      <xdr:colOff>219075</xdr:colOff>
      <xdr:row>1</xdr:row>
      <xdr:rowOff>104775</xdr:rowOff>
    </xdr:from>
    <xdr:ext cx="1828800" cy="609600"/>
    <xdr:pic>
      <xdr:nvPicPr>
        <xdr:cNvPr id="0" name="image2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657225</xdr:colOff>
      <xdr:row>1</xdr:row>
      <xdr:rowOff>104775</xdr:rowOff>
    </xdr:from>
    <xdr:ext cx="647700" cy="609600"/>
    <xdr:pic>
      <xdr:nvPicPr>
        <xdr:cNvPr id="0" name="image1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47" sheet="_synced_data"/>
  </cacheSource>
  <cacheFields>
    <cacheField name="Date" numFmtId="164">
      <sharedItems containsSemiMixedTypes="0" containsDate="1" containsString="0">
        <d v="2026-05-28T00:00:00Z"/>
        <d v="2026-05-31T00:00:00Z"/>
        <d v="2026-06-07T00:00:00Z"/>
      </sharedItems>
    </cacheField>
    <cacheField name="Player Name" numFmtId="0">
      <sharedItems>
        <s v="Nahuel Masciotra"/>
        <s v="Oscar Melendez"/>
        <s v="Gonzalo Carrozza"/>
        <s v="Valentino Baldivia"/>
        <s v="Rafael Zeni"/>
        <s v="Seastian Munoz"/>
        <s v="Alejandro Gomez"/>
        <s v="Platero "/>
        <s v="Lucas Appiolazza"/>
        <s v="Ruben "/>
        <s v="Franco Soldati"/>
        <s v="Javi Perez"/>
        <s v="Leonel Miguelez"/>
        <s v="Vladimir Covalschi"/>
        <s v="Johan Viedma"/>
        <s v="Matias Saitta"/>
      </sharedItems>
    </cacheField>
    <cacheField name="Distance" numFmtId="0">
      <sharedItems containsSemiMixedTypes="0" containsString="0" containsNumber="1">
        <n v="2.701"/>
        <n v="2.93"/>
        <n v="2.784"/>
        <n v="2.761"/>
        <n v="2.33"/>
        <n v="3.196"/>
        <n v="2.236"/>
        <n v="3.17"/>
        <n v="2.757"/>
        <n v="2.714"/>
        <n v="3.578"/>
        <n v="2.694"/>
        <n v="2.794"/>
        <n v="2.281"/>
        <n v="2.993"/>
        <n v="1.063"/>
        <n v="5.79"/>
        <n v="6.368"/>
        <n v="2.279"/>
        <n v="5.216"/>
        <n v="4.886"/>
        <n v="2.452"/>
        <n v="3.186"/>
        <n v="6.188"/>
        <n v="6.774"/>
        <n v="5.19"/>
        <n v="3.241"/>
        <n v="6.525"/>
        <n v="6.389"/>
        <n v="6.476"/>
        <n v="2.172"/>
        <n v="4.14"/>
        <n v="5.594"/>
        <n v="5.999"/>
        <n v="2.614"/>
        <n v="3.495"/>
        <n v="2.816"/>
        <n v="4.824"/>
        <n v="5.795"/>
        <n v="4.226"/>
        <n v="5.428"/>
        <n v="5.208"/>
        <n v="5.328"/>
        <n v="3.087"/>
        <n v="3.029"/>
        <n v="4.961"/>
      </sharedItems>
    </cacheField>
    <cacheField name="GPS Load" numFmtId="0">
      <sharedItems containsSemiMixedTypes="0" containsString="0" containsNumber="1">
        <n v="56.964"/>
        <n v="65.661"/>
        <n v="56.709"/>
        <n v="48.667"/>
        <n v="34.256"/>
        <n v="74.245"/>
        <n v="45.305"/>
        <n v="80.735"/>
        <n v="45.774"/>
        <n v="46.156"/>
        <n v="116.773"/>
        <n v="48.064"/>
        <n v="69.408"/>
        <n v="30.707"/>
        <n v="96.261"/>
        <n v="2.768"/>
        <n v="193.469"/>
        <n v="170.099"/>
        <n v="47.764"/>
        <n v="143.26"/>
        <n v="153.743"/>
        <n v="44.491"/>
        <n v="100.99"/>
        <n v="144.452"/>
        <n v="247.911"/>
        <n v="204.208"/>
        <n v="73.478"/>
        <n v="213.316"/>
        <n v="197.229"/>
        <n v="150.24"/>
        <n v="37.263"/>
        <n v="160.072"/>
        <n v="170.598"/>
        <n v="159.255"/>
        <n v="86.693"/>
        <n v="124.53"/>
        <n v="103.797"/>
        <n v="221.748"/>
        <n v="268.853"/>
        <n v="108.769"/>
        <n v="128.039"/>
        <n v="157.964"/>
        <n v="204.009"/>
        <n v="116.669"/>
        <n v="81.334"/>
        <n v="249.109"/>
      </sharedItems>
    </cacheField>
    <cacheField name="Top Speed" numFmtId="0">
      <sharedItems containsSemiMixedTypes="0" containsString="0" containsNumber="1">
        <n v="14.189"/>
        <n v="15.699"/>
        <n v="15.475"/>
        <n v="14.849"/>
        <n v="14.902"/>
        <n v="13.574"/>
        <n v="13.9"/>
        <n v="15.753"/>
        <n v="16.2"/>
        <n v="12.847"/>
        <n v="15.343"/>
        <n v="15.86"/>
        <n v="14.775"/>
        <n v="12.789"/>
        <n v="16.858"/>
        <n v="10.932"/>
        <n v="18.907"/>
        <n v="17.815"/>
        <n v="15.75"/>
        <n v="18.025"/>
        <n v="17.184"/>
        <n v="18.954"/>
        <n v="17.741"/>
        <n v="17.846"/>
        <n v="18.162"/>
        <n v="17.403"/>
        <n v="16.987"/>
        <n v="17.683"/>
        <n v="19.036"/>
        <n v="16.5"/>
        <n v="17.345"/>
        <n v="20.457"/>
        <n v="18.781"/>
        <n v="17.632"/>
        <n v="16.475"/>
        <n v="17.195"/>
        <n v="17.86"/>
        <n v="18.43"/>
        <n v="18.658"/>
        <n v="16.488"/>
        <n v="17.048"/>
        <n v="17.491"/>
        <n v="17.934"/>
        <n v="18.866"/>
        <n v="17.992"/>
        <n v="19.135"/>
      </sharedItems>
    </cacheField>
    <cacheField name="Speed Zones  Distance" numFmtId="0">
      <sharedItems containsSemiMixedTypes="0" containsString="0" containsNumber="1">
        <n v="0.0"/>
        <n v="0.756"/>
        <n v="0.788"/>
        <n v="4.586"/>
        <n v="1.477"/>
        <n v="10.324"/>
        <n v="74.923"/>
        <n v="42.007"/>
        <n v="0.747"/>
        <n v="21.763"/>
        <n v="50.767"/>
        <n v="29.327"/>
        <n v="61.228"/>
        <n v="34.968"/>
        <n v="143.49"/>
        <n v="34.177"/>
        <n v="25.019"/>
        <n v="93.95"/>
        <n v="105.478"/>
        <n v="16.486"/>
        <n v="20.604"/>
        <n v="84.332"/>
        <n v="65.518"/>
        <n v="34.339"/>
        <n v="15.51"/>
        <n v="22.444"/>
        <n v="38.635"/>
        <n v="99.715"/>
        <n v="198.246"/>
        <n v="11.469"/>
        <n v="26.189"/>
        <n v="28.243"/>
        <n v="89.067"/>
        <n v="37.23"/>
        <n v="27.017"/>
        <n v="248.928"/>
      </sharedItems>
    </cacheField>
    <cacheField name="Speed Zones  Count" numFmtId="0">
      <sharedItems containsSemiMixedTypes="0" containsString="0" containsNumber="1" containsInteger="1">
        <n v="0.0"/>
        <n v="1.0"/>
        <n v="2.0"/>
        <n v="8.0"/>
        <n v="6.0"/>
        <n v="3.0"/>
        <n v="10.0"/>
        <n v="5.0"/>
        <n v="7.0"/>
        <n v="12.0"/>
        <n v="15.0"/>
        <n v="16.0"/>
      </sharedItems>
    </cacheField>
    <cacheField name="Personal Bands  Distance" numFmtId="0">
      <sharedItems containsSemiMixedTypes="0" containsString="0" containsNumber="1">
        <n v="0.0"/>
        <n v="1.515"/>
        <n v="7.222"/>
        <n v="61.165"/>
        <n v="35.044"/>
        <n v="20.19"/>
        <n v="36.739"/>
        <n v="25.419"/>
        <n v="4563.25"/>
        <n v="31.014"/>
        <n v="112.896"/>
        <n v="21.841"/>
        <n v="15.83"/>
        <n v="80.979"/>
        <n v="83.693"/>
        <n v="8.859"/>
        <n v="15.927"/>
        <n v="78.092"/>
        <n v="35.419"/>
        <n v="30.497"/>
        <n v="10.248"/>
        <n v="20.845"/>
        <n v="27.054"/>
        <n v="83.478"/>
        <n v="158.353"/>
        <n v="7.78"/>
        <n v="14.672"/>
        <n v="21.985"/>
        <n v="8749.624"/>
        <n v="29.63"/>
        <n v="23.827"/>
        <n v="207.341"/>
      </sharedItems>
    </cacheField>
    <cacheField name="Personal Bands  Count" numFmtId="0">
      <sharedItems containsSemiMixedTypes="0" containsString="0" containsNumber="1" containsInteger="1">
        <n v="0.0"/>
        <n v="1.0"/>
        <n v="5.0"/>
        <n v="3.0"/>
        <n v="2.0"/>
        <n v="212.0"/>
        <n v="9.0"/>
        <n v="4.0"/>
        <n v="6.0"/>
        <n v="10.0"/>
        <n v="7.0"/>
        <n v="14.0"/>
        <n v="360.0"/>
        <n v="15.0"/>
      </sharedItems>
    </cacheField>
    <cacheField name="Peak Accel" numFmtId="0">
      <sharedItems containsSemiMixedTypes="0" containsString="0" containsNumber="1">
        <n v="5.883"/>
        <n v="4.51"/>
        <n v="4.593"/>
        <n v="4.873"/>
        <n v="4.509"/>
        <n v="4.755"/>
        <n v="4.658"/>
        <n v="4.54"/>
        <n v="4.49"/>
        <n v="4.135"/>
        <n v="5.226"/>
        <n v="4.946"/>
        <n v="4.429"/>
        <n v="4.173"/>
        <n v="4.512"/>
        <n v="4.753"/>
        <n v="5.069"/>
        <n v="5.116"/>
        <n v="3.899"/>
        <n v="4.914"/>
        <n v="4.691"/>
        <n v="5.324"/>
        <n v="6.322"/>
        <n v="4.257"/>
        <n v="5.36"/>
        <n v="5.331"/>
        <n v="4.411"/>
        <n v="4.437"/>
        <n v="5.011"/>
        <n v="4.934"/>
        <n v="4.913"/>
        <n v="5.065"/>
        <n v="4.697"/>
        <n v="4.134"/>
        <n v="4.988"/>
        <n v="5.04"/>
        <n v="4.982"/>
        <n v="4.159"/>
        <n v="4.776"/>
        <n v="4.631"/>
        <n v="4.63"/>
        <n v="4.796"/>
        <n v="4.296"/>
        <n v="5.213"/>
        <n v="5.056"/>
        <n v="4.117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47" sheet="_synced_data"/>
  </cacheSource>
  <cacheFields>
    <cacheField name="Date" numFmtId="164">
      <sharedItems containsSemiMixedTypes="0" containsDate="1" containsString="0">
        <d v="2026-05-28T00:00:00Z"/>
        <d v="2026-05-31T00:00:00Z"/>
        <d v="2026-06-07T00:00:00Z"/>
      </sharedItems>
    </cacheField>
    <cacheField name="Player Name" numFmtId="0">
      <sharedItems>
        <s v="Nahuel Masciotra"/>
        <s v="Oscar Melendez"/>
        <s v="Gonzalo Carrozza"/>
        <s v="Valentino Baldivia"/>
        <s v="Rafael Zeni"/>
        <s v="Seastian Munoz"/>
        <s v="Alejandro Gomez"/>
        <s v="Platero "/>
        <s v="Lucas Appiolazza"/>
        <s v="Ruben "/>
        <s v="Franco Soldati"/>
        <s v="Javi Perez"/>
        <s v="Leonel Miguelez"/>
        <s v="Vladimir Covalschi"/>
        <s v="Johan Viedma"/>
        <s v="Matias Saitta"/>
      </sharedItems>
    </cacheField>
    <cacheField name="Distance" numFmtId="0">
      <sharedItems containsSemiMixedTypes="0" containsString="0" containsNumber="1">
        <n v="2.701"/>
        <n v="2.93"/>
        <n v="2.784"/>
        <n v="2.761"/>
        <n v="2.33"/>
        <n v="3.196"/>
        <n v="2.236"/>
        <n v="3.17"/>
        <n v="2.757"/>
        <n v="2.714"/>
        <n v="3.578"/>
        <n v="2.694"/>
        <n v="2.794"/>
        <n v="2.281"/>
        <n v="2.993"/>
        <n v="1.063"/>
        <n v="5.79"/>
        <n v="6.368"/>
        <n v="2.279"/>
        <n v="5.216"/>
        <n v="4.886"/>
        <n v="2.452"/>
        <n v="3.186"/>
        <n v="6.188"/>
        <n v="6.774"/>
        <n v="5.19"/>
        <n v="3.241"/>
        <n v="6.525"/>
        <n v="6.389"/>
        <n v="6.476"/>
        <n v="2.172"/>
        <n v="4.14"/>
        <n v="5.594"/>
        <n v="5.999"/>
        <n v="2.614"/>
        <n v="3.495"/>
        <n v="2.816"/>
        <n v="4.824"/>
        <n v="5.795"/>
        <n v="4.226"/>
        <n v="5.428"/>
        <n v="5.208"/>
        <n v="5.328"/>
        <n v="3.087"/>
        <n v="3.029"/>
        <n v="4.961"/>
      </sharedItems>
    </cacheField>
    <cacheField name="GPS Load" numFmtId="0">
      <sharedItems containsSemiMixedTypes="0" containsString="0" containsNumber="1">
        <n v="56.964"/>
        <n v="65.661"/>
        <n v="56.709"/>
        <n v="48.667"/>
        <n v="34.256"/>
        <n v="74.245"/>
        <n v="45.305"/>
        <n v="80.735"/>
        <n v="45.774"/>
        <n v="46.156"/>
        <n v="116.773"/>
        <n v="48.064"/>
        <n v="69.408"/>
        <n v="30.707"/>
        <n v="96.261"/>
        <n v="2.768"/>
        <n v="193.469"/>
        <n v="170.099"/>
        <n v="47.764"/>
        <n v="143.26"/>
        <n v="153.743"/>
        <n v="44.491"/>
        <n v="100.99"/>
        <n v="144.452"/>
        <n v="247.911"/>
        <n v="204.208"/>
        <n v="73.478"/>
        <n v="213.316"/>
        <n v="197.229"/>
        <n v="150.24"/>
        <n v="37.263"/>
        <n v="160.072"/>
        <n v="170.598"/>
        <n v="159.255"/>
        <n v="86.693"/>
        <n v="124.53"/>
        <n v="103.797"/>
        <n v="221.748"/>
        <n v="268.853"/>
        <n v="108.769"/>
        <n v="128.039"/>
        <n v="157.964"/>
        <n v="204.009"/>
        <n v="116.669"/>
        <n v="81.334"/>
        <n v="249.109"/>
      </sharedItems>
    </cacheField>
    <cacheField name="Top Speed" numFmtId="0">
      <sharedItems containsSemiMixedTypes="0" containsString="0" containsNumber="1">
        <n v="14.189"/>
        <n v="15.699"/>
        <n v="15.475"/>
        <n v="14.849"/>
        <n v="14.902"/>
        <n v="13.574"/>
        <n v="13.9"/>
        <n v="15.753"/>
        <n v="16.2"/>
        <n v="12.847"/>
        <n v="15.343"/>
        <n v="15.86"/>
        <n v="14.775"/>
        <n v="12.789"/>
        <n v="16.858"/>
        <n v="10.932"/>
        <n v="18.907"/>
        <n v="17.815"/>
        <n v="15.75"/>
        <n v="18.025"/>
        <n v="17.184"/>
        <n v="18.954"/>
        <n v="17.741"/>
        <n v="17.846"/>
        <n v="18.162"/>
        <n v="17.403"/>
        <n v="16.987"/>
        <n v="17.683"/>
        <n v="19.036"/>
        <n v="16.5"/>
        <n v="17.345"/>
        <n v="20.457"/>
        <n v="18.781"/>
        <n v="17.632"/>
        <n v="16.475"/>
        <n v="17.195"/>
        <n v="17.86"/>
        <n v="18.43"/>
        <n v="18.658"/>
        <n v="16.488"/>
        <n v="17.048"/>
        <n v="17.491"/>
        <n v="17.934"/>
        <n v="18.866"/>
        <n v="17.992"/>
        <n v="19.135"/>
      </sharedItems>
    </cacheField>
    <cacheField name="Speed Zones  Distance" numFmtId="0">
      <sharedItems containsSemiMixedTypes="0" containsString="0" containsNumber="1">
        <n v="0.0"/>
        <n v="0.756"/>
        <n v="0.788"/>
        <n v="4.586"/>
        <n v="1.477"/>
        <n v="10.324"/>
        <n v="74.923"/>
        <n v="42.007"/>
        <n v="0.747"/>
        <n v="21.763"/>
        <n v="50.767"/>
        <n v="29.327"/>
        <n v="61.228"/>
        <n v="34.968"/>
        <n v="143.49"/>
        <n v="34.177"/>
        <n v="25.019"/>
        <n v="93.95"/>
        <n v="105.478"/>
        <n v="16.486"/>
        <n v="20.604"/>
        <n v="84.332"/>
        <n v="65.518"/>
        <n v="34.339"/>
        <n v="15.51"/>
        <n v="22.444"/>
        <n v="38.635"/>
        <n v="99.715"/>
        <n v="198.246"/>
        <n v="11.469"/>
        <n v="26.189"/>
        <n v="28.243"/>
        <n v="89.067"/>
        <n v="37.23"/>
        <n v="27.017"/>
        <n v="248.928"/>
      </sharedItems>
    </cacheField>
    <cacheField name="Speed Zones  Count" numFmtId="0">
      <sharedItems containsSemiMixedTypes="0" containsString="0" containsNumber="1" containsInteger="1">
        <n v="0.0"/>
        <n v="1.0"/>
        <n v="2.0"/>
        <n v="8.0"/>
        <n v="6.0"/>
        <n v="3.0"/>
        <n v="10.0"/>
        <n v="5.0"/>
        <n v="7.0"/>
        <n v="12.0"/>
        <n v="15.0"/>
        <n v="16.0"/>
      </sharedItems>
    </cacheField>
    <cacheField name="Personal Bands  Distance" numFmtId="0">
      <sharedItems containsSemiMixedTypes="0" containsString="0" containsNumber="1">
        <n v="0.0"/>
        <n v="1.515"/>
        <n v="7.222"/>
        <n v="61.165"/>
        <n v="35.044"/>
        <n v="20.19"/>
        <n v="36.739"/>
        <n v="25.419"/>
        <n v="4563.25"/>
        <n v="31.014"/>
        <n v="112.896"/>
        <n v="21.841"/>
        <n v="15.83"/>
        <n v="80.979"/>
        <n v="83.693"/>
        <n v="8.859"/>
        <n v="15.927"/>
        <n v="78.092"/>
        <n v="35.419"/>
        <n v="30.497"/>
        <n v="10.248"/>
        <n v="20.845"/>
        <n v="27.054"/>
        <n v="83.478"/>
        <n v="158.353"/>
        <n v="7.78"/>
        <n v="14.672"/>
        <n v="21.985"/>
        <n v="8749.624"/>
        <n v="29.63"/>
        <n v="23.827"/>
        <n v="207.341"/>
      </sharedItems>
    </cacheField>
    <cacheField name="Personal Bands  Count" numFmtId="0">
      <sharedItems containsSemiMixedTypes="0" containsString="0" containsNumber="1" containsInteger="1">
        <n v="0.0"/>
        <n v="1.0"/>
        <n v="5.0"/>
        <n v="3.0"/>
        <n v="2.0"/>
        <n v="212.0"/>
        <n v="9.0"/>
        <n v="4.0"/>
        <n v="6.0"/>
        <n v="10.0"/>
        <n v="7.0"/>
        <n v="14.0"/>
        <n v="360.0"/>
        <n v="15.0"/>
      </sharedItems>
    </cacheField>
    <cacheField name="Peak Accel" numFmtId="0">
      <sharedItems containsSemiMixedTypes="0" containsString="0" containsNumber="1">
        <n v="5.883"/>
        <n v="4.51"/>
        <n v="4.593"/>
        <n v="4.873"/>
        <n v="4.509"/>
        <n v="4.755"/>
        <n v="4.658"/>
        <n v="4.54"/>
        <n v="4.49"/>
        <n v="4.135"/>
        <n v="5.226"/>
        <n v="4.946"/>
        <n v="4.429"/>
        <n v="4.173"/>
        <n v="4.512"/>
        <n v="4.753"/>
        <n v="5.069"/>
        <n v="5.116"/>
        <n v="3.899"/>
        <n v="4.914"/>
        <n v="4.691"/>
        <n v="5.324"/>
        <n v="6.322"/>
        <n v="4.257"/>
        <n v="5.36"/>
        <n v="5.331"/>
        <n v="4.411"/>
        <n v="4.437"/>
        <n v="5.011"/>
        <n v="4.934"/>
        <n v="4.913"/>
        <n v="5.065"/>
        <n v="4.697"/>
        <n v="4.134"/>
        <n v="4.988"/>
        <n v="5.04"/>
        <n v="4.982"/>
        <n v="4.159"/>
        <n v="4.776"/>
        <n v="4.631"/>
        <n v="4.63"/>
        <n v="4.796"/>
        <n v="4.296"/>
        <n v="5.213"/>
        <n v="5.056"/>
        <n v="4.117"/>
      </sharedItems>
    </cacheField>
    <cacheField name="Accel Zones  Count" numFmtId="0">
      <sharedItems containsSemiMixedTypes="0" containsString="0" containsNumber="1" containsInteger="1">
        <n v="7.0"/>
        <n v="2.0"/>
        <n v="5.0"/>
        <n v="6.0"/>
        <n v="1.0"/>
        <n v="4.0"/>
        <n v="3.0"/>
        <n v="15.0"/>
        <n v="19.0"/>
        <n v="0.0"/>
        <n v="12.0"/>
        <n v="10.0"/>
        <n v="8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s" cacheId="0" dataCaption="" rowGrandTotals="0" compact="0" compactData="0">
  <location ref="A2:B18" firstHeaderRow="0" firstDataRow="1" firstDataCol="0"/>
  <pivotFields>
    <pivotField name="Date" compact="0" numFmtId="164" outline="0" multipleItemSelectionAllowed="1" showAll="0">
      <items>
        <item x="0"/>
        <item x="1"/>
        <item x="2"/>
        <item t="default"/>
      </items>
    </pivotField>
    <pivotField name="Player Nam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Distanc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GPS Loa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Top Spe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Speed Zones  Dist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Speed Zones  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ersonal Bands  Dist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Personal Bands  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Peak Acc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</pivotFields>
  <rowFields>
    <field x="1"/>
  </rowFields>
  <dataFields>
    <dataField name="AVERAGE of Distance" fld="2" subtotal="average" baseField="0"/>
  </dataFields>
  <pivotTableStyleInfo name="Google Sheets Pivot Table Style" showRowHeaders="1" showColHeaders="1" showLastColumn="1"/>
</pivotTableDefinition>
</file>

<file path=xl/pivotTables/pivotTable2.xml><?xml version="1.0" encoding="utf-8"?>
<pivotTableDefinition xmlns="http://schemas.openxmlformats.org/spreadsheetml/2006/main" name="pivots 2" cacheId="0" dataCaption="" rowGrandTotals="0" compact="0" compactData="0">
  <location ref="D2:E18" firstHeaderRow="0" firstDataRow="1" firstDataCol="0"/>
  <pivotFields>
    <pivotField name="Date" compact="0" numFmtId="164" outline="0" multipleItemSelectionAllowed="1" showAll="0">
      <items>
        <item x="0"/>
        <item x="1"/>
        <item x="2"/>
        <item t="default"/>
      </items>
    </pivotField>
    <pivotField name="Player Nam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Dist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GPS Loa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Top Spee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Speed Zones  Dist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Speed Zones  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ersonal Bands  Dist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Personal Bands  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Peak Acc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</pivotFields>
  <rowFields>
    <field x="1"/>
  </rowFields>
  <dataFields>
    <dataField name="MAX of Top Speed" fld="4" subtotal="max" baseField="0"/>
  </dataFields>
  <pivotTableStyleInfo name="Google Sheets Pivot Table Style" showRowHeaders="1" showColHeaders="1" showLastColumn="1"/>
</pivotTableDefinition>
</file>

<file path=xl/pivotTables/pivotTable3.xml><?xml version="1.0" encoding="utf-8"?>
<pivotTableDefinition xmlns="http://schemas.openxmlformats.org/spreadsheetml/2006/main" name="pivots 3" cacheId="1" dataCaption="" rowGrandTotals="0" compact="0" compactData="0">
  <location ref="G2:H18" firstHeaderRow="0" firstDataRow="1" firstDataCol="0"/>
  <pivotFields>
    <pivotField name="Date" compact="0" numFmtId="164" outline="0" multipleItemSelectionAllowed="1" showAll="0">
      <items>
        <item x="0"/>
        <item x="1"/>
        <item x="2"/>
        <item t="default"/>
      </items>
    </pivotField>
    <pivotField name="Player Nam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Dist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GPS Loa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Top Spe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Speed Zones  Distanc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Speed Zones  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ersonal Bands  Dist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Personal Bands  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Peak Acc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Accel Zones  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>
    <field x="1"/>
  </rowFields>
  <dataFields>
    <dataField name="AVERAGE of Speed Zones  Distance" fld="5" subtotal="average" baseField="0"/>
  </dataFields>
  <pivotTableStyleInfo name="Google Sheets Pivot Table Style" showRowHeaders="1" showColHeaders="1" showLastColumn="1"/>
</pivotTableDefinition>
</file>

<file path=xl/pivotTables/pivotTable4.xml><?xml version="1.0" encoding="utf-8"?>
<pivotTableDefinition xmlns="http://schemas.openxmlformats.org/spreadsheetml/2006/main" name="pivots 4" cacheId="1" dataCaption="" rowGrandTotals="0" compact="0" compactData="0">
  <location ref="J2:K18" firstHeaderRow="0" firstDataRow="1" firstDataCol="0"/>
  <pivotFields>
    <pivotField name="Date" compact="0" numFmtId="164" outline="0" multipleItemSelectionAllowed="1" showAll="0">
      <items>
        <item x="0"/>
        <item x="1"/>
        <item x="2"/>
        <item t="default"/>
      </items>
    </pivotField>
    <pivotField name="Player Nam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Dist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GPS Loa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Top Spe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Speed Zones  Dist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Speed Zones  C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ersonal Bands  Dist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Personal Bands  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Peak Acc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Accel Zones  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>
    <field x="1"/>
  </rowFields>
  <dataFields>
    <dataField name="AVERAGE of Speed Zones  Count" fld="6" subtotal="average" baseField="0"/>
  </dataFields>
  <pivotTableStyleInfo name="Google Sheets Pivot Table Style" showRowHeaders="1" showColHeaders="1" showLastColumn="1"/>
</pivotTableDefinition>
</file>

<file path=xl/pivotTables/pivotTable5.xml><?xml version="1.0" encoding="utf-8"?>
<pivotTableDefinition xmlns="http://schemas.openxmlformats.org/spreadsheetml/2006/main" name="pivots 5" cacheId="1" dataCaption="" rowGrandTotals="0" compact="0" compactData="0">
  <location ref="M2:N18" firstHeaderRow="0" firstDataRow="1" firstDataCol="0"/>
  <pivotFields>
    <pivotField name="Date" compact="0" numFmtId="164" outline="0" multipleItemSelectionAllowed="1" showAll="0">
      <items>
        <item x="0"/>
        <item x="1"/>
        <item x="2"/>
        <item t="default"/>
      </items>
    </pivotField>
    <pivotField name="Player Nam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Dist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GPS Loa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Top Spe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Speed Zones  Dist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Speed Zones  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ersonal Bands  Distanc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Personal Bands  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Peak Acc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Accel Zones  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>
    <field x="1"/>
  </rowFields>
  <dataFields>
    <dataField name="AVERAGE of Personal Bands  Distance" fld="7" subtotal="average" baseField="0"/>
  </dataFields>
  <pivotTableStyleInfo name="Google Sheets Pivot Table Style" showRowHeaders="1" showColHeaders="1" showLastColumn="1"/>
</pivotTableDefinition>
</file>

<file path=xl/pivotTables/pivotTable6.xml><?xml version="1.0" encoding="utf-8"?>
<pivotTableDefinition xmlns="http://schemas.openxmlformats.org/spreadsheetml/2006/main" name="pivots 6" cacheId="1" dataCaption="" rowGrandTotals="0" compact="0" compactData="0">
  <location ref="P2:Q18" firstHeaderRow="0" firstDataRow="1" firstDataCol="0"/>
  <pivotFields>
    <pivotField name="Date" compact="0" numFmtId="164" outline="0" multipleItemSelectionAllowed="1" showAll="0">
      <items>
        <item x="0"/>
        <item x="1"/>
        <item x="2"/>
        <item t="default"/>
      </items>
    </pivotField>
    <pivotField name="Player Nam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Dist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GPS Loa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Top Spe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Speed Zones  Dist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Speed Zones  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ersonal Bands  Dist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Personal Bands  C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Peak Acc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Accel Zones  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>
    <field x="1"/>
  </rowFields>
  <dataFields>
    <dataField name="SUM of Personal Bands  Count" fld="8" baseField="0"/>
  </dataFields>
  <pivotTableStyleInfo name="Google Sheets Pivot Table Style" showRowHeaders="1" showColHeaders="1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</cols>
  <sheetData>
    <row r="1">
      <c r="A1" s="1" t="s">
        <v>0</v>
      </c>
      <c r="C1" s="2"/>
    </row>
    <row r="2">
      <c r="C2" s="2"/>
    </row>
    <row r="3">
      <c r="A3" s="1" t="s">
        <v>1</v>
      </c>
      <c r="B3" s="1" t="s">
        <v>2</v>
      </c>
      <c r="C3" s="2"/>
    </row>
    <row r="4">
      <c r="C4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4.25"/>
    <col customWidth="1" min="3" max="3" width="7.5"/>
    <col customWidth="1" min="4" max="4" width="8.75"/>
    <col customWidth="1" min="5" max="5" width="9.0"/>
    <col customWidth="1" min="6" max="6" width="18.38"/>
    <col customWidth="1" min="7" max="7" width="16.25"/>
    <col customWidth="1" min="8" max="8" width="20.13"/>
    <col customWidth="1" min="9" max="9" width="18.13"/>
    <col customWidth="1" min="10" max="10" width="9.38"/>
    <col customWidth="1" min="11" max="11" width="15.5"/>
  </cols>
  <sheetData>
    <row r="1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</row>
    <row r="2">
      <c r="A2" s="4">
        <v>46170.0</v>
      </c>
      <c r="B2" s="3" t="s">
        <v>14</v>
      </c>
      <c r="C2" s="3">
        <v>2.701</v>
      </c>
      <c r="D2" s="3">
        <v>56.964</v>
      </c>
      <c r="E2" s="3">
        <v>14.189</v>
      </c>
      <c r="F2" s="3">
        <v>0.0</v>
      </c>
      <c r="G2" s="3">
        <v>0.0</v>
      </c>
      <c r="H2" s="3">
        <v>0.0</v>
      </c>
      <c r="I2" s="3">
        <v>0.0</v>
      </c>
      <c r="J2" s="3">
        <v>5.883</v>
      </c>
      <c r="K2" s="3">
        <v>7.0</v>
      </c>
    </row>
    <row r="3">
      <c r="A3" s="4">
        <v>46170.0</v>
      </c>
      <c r="B3" s="3" t="s">
        <v>15</v>
      </c>
      <c r="C3" s="3">
        <v>2.93</v>
      </c>
      <c r="D3" s="3">
        <v>65.661</v>
      </c>
      <c r="E3" s="3">
        <v>15.699</v>
      </c>
      <c r="F3" s="3">
        <v>0.756</v>
      </c>
      <c r="G3" s="3">
        <v>1.0</v>
      </c>
      <c r="H3" s="3">
        <v>0.0</v>
      </c>
      <c r="I3" s="3">
        <v>0.0</v>
      </c>
      <c r="J3" s="3">
        <v>4.51</v>
      </c>
      <c r="K3" s="3">
        <v>2.0</v>
      </c>
    </row>
    <row r="4">
      <c r="A4" s="4">
        <v>46170.0</v>
      </c>
      <c r="B4" s="3" t="s">
        <v>16</v>
      </c>
      <c r="C4" s="3">
        <v>2.784</v>
      </c>
      <c r="D4" s="3">
        <v>56.709</v>
      </c>
      <c r="E4" s="3">
        <v>15.475</v>
      </c>
      <c r="F4" s="3">
        <v>0.0</v>
      </c>
      <c r="G4" s="3">
        <v>0.0</v>
      </c>
      <c r="H4" s="3">
        <v>0.0</v>
      </c>
      <c r="I4" s="3">
        <v>0.0</v>
      </c>
      <c r="J4" s="3">
        <v>4.593</v>
      </c>
      <c r="K4" s="3">
        <v>5.0</v>
      </c>
    </row>
    <row r="5">
      <c r="A5" s="4">
        <v>46170.0</v>
      </c>
      <c r="B5" s="3" t="s">
        <v>17</v>
      </c>
      <c r="C5" s="3">
        <v>2.761</v>
      </c>
      <c r="D5" s="3">
        <v>48.667</v>
      </c>
      <c r="E5" s="3">
        <v>14.849</v>
      </c>
      <c r="F5" s="3">
        <v>0.0</v>
      </c>
      <c r="G5" s="3">
        <v>0.0</v>
      </c>
      <c r="H5" s="3">
        <v>0.0</v>
      </c>
      <c r="I5" s="3">
        <v>0.0</v>
      </c>
      <c r="J5" s="3">
        <v>4.873</v>
      </c>
      <c r="K5" s="3">
        <v>6.0</v>
      </c>
    </row>
    <row r="6">
      <c r="A6" s="4">
        <v>46170.0</v>
      </c>
      <c r="B6" s="3" t="s">
        <v>18</v>
      </c>
      <c r="C6" s="3">
        <v>2.33</v>
      </c>
      <c r="D6" s="3">
        <v>34.256</v>
      </c>
      <c r="E6" s="3">
        <v>14.902</v>
      </c>
      <c r="F6" s="3">
        <v>0.0</v>
      </c>
      <c r="G6" s="3">
        <v>0.0</v>
      </c>
      <c r="H6" s="3">
        <v>0.0</v>
      </c>
      <c r="I6" s="3">
        <v>0.0</v>
      </c>
      <c r="J6" s="3">
        <v>4.509</v>
      </c>
      <c r="K6" s="3">
        <v>1.0</v>
      </c>
    </row>
    <row r="7">
      <c r="A7" s="4">
        <v>46170.0</v>
      </c>
      <c r="B7" s="3" t="s">
        <v>19</v>
      </c>
      <c r="C7" s="3">
        <v>3.196</v>
      </c>
      <c r="D7" s="3">
        <v>74.245</v>
      </c>
      <c r="E7" s="3">
        <v>13.574</v>
      </c>
      <c r="F7" s="3">
        <v>0.0</v>
      </c>
      <c r="G7" s="3">
        <v>0.0</v>
      </c>
      <c r="H7" s="3">
        <v>0.0</v>
      </c>
      <c r="I7" s="3">
        <v>0.0</v>
      </c>
      <c r="J7" s="3">
        <v>4.755</v>
      </c>
      <c r="K7" s="3">
        <v>4.0</v>
      </c>
    </row>
    <row r="8">
      <c r="A8" s="4">
        <v>46170.0</v>
      </c>
      <c r="B8" s="3" t="s">
        <v>20</v>
      </c>
      <c r="C8" s="3">
        <v>2.236</v>
      </c>
      <c r="D8" s="3">
        <v>45.305</v>
      </c>
      <c r="E8" s="3">
        <v>13.9</v>
      </c>
      <c r="F8" s="3">
        <v>0.0</v>
      </c>
      <c r="G8" s="3">
        <v>0.0</v>
      </c>
      <c r="H8" s="3">
        <v>0.0</v>
      </c>
      <c r="I8" s="3">
        <v>0.0</v>
      </c>
      <c r="J8" s="3">
        <v>4.658</v>
      </c>
      <c r="K8" s="3">
        <v>4.0</v>
      </c>
    </row>
    <row r="9">
      <c r="A9" s="4">
        <v>46170.0</v>
      </c>
      <c r="B9" s="3" t="s">
        <v>21</v>
      </c>
      <c r="C9" s="3">
        <v>3.17</v>
      </c>
      <c r="D9" s="3">
        <v>80.735</v>
      </c>
      <c r="E9" s="3">
        <v>15.753</v>
      </c>
      <c r="F9" s="3">
        <v>0.788</v>
      </c>
      <c r="G9" s="3">
        <v>1.0</v>
      </c>
      <c r="H9" s="3">
        <v>0.0</v>
      </c>
      <c r="I9" s="3">
        <v>0.0</v>
      </c>
      <c r="J9" s="3">
        <v>4.54</v>
      </c>
      <c r="K9" s="3">
        <v>4.0</v>
      </c>
    </row>
    <row r="10">
      <c r="A10" s="4">
        <v>46170.0</v>
      </c>
      <c r="B10" s="3" t="s">
        <v>22</v>
      </c>
      <c r="C10" s="3">
        <v>2.757</v>
      </c>
      <c r="D10" s="3">
        <v>45.774</v>
      </c>
      <c r="E10" s="3">
        <v>16.2</v>
      </c>
      <c r="F10" s="3">
        <v>4.586</v>
      </c>
      <c r="G10" s="3">
        <v>2.0</v>
      </c>
      <c r="H10" s="3">
        <v>1.515</v>
      </c>
      <c r="I10" s="3">
        <v>1.0</v>
      </c>
      <c r="J10" s="3">
        <v>4.49</v>
      </c>
      <c r="K10" s="3">
        <v>2.0</v>
      </c>
    </row>
    <row r="11">
      <c r="A11" s="4">
        <v>46170.0</v>
      </c>
      <c r="B11" s="3" t="s">
        <v>23</v>
      </c>
      <c r="C11" s="3">
        <v>2.714</v>
      </c>
      <c r="D11" s="3">
        <v>46.156</v>
      </c>
      <c r="E11" s="3">
        <v>12.847</v>
      </c>
      <c r="F11" s="3">
        <v>0.0</v>
      </c>
      <c r="G11" s="3">
        <v>0.0</v>
      </c>
      <c r="H11" s="3">
        <v>0.0</v>
      </c>
      <c r="I11" s="3">
        <v>0.0</v>
      </c>
      <c r="J11" s="3">
        <v>4.135</v>
      </c>
      <c r="K11" s="3">
        <v>2.0</v>
      </c>
    </row>
    <row r="12">
      <c r="A12" s="4">
        <v>46170.0</v>
      </c>
      <c r="B12" s="3" t="s">
        <v>24</v>
      </c>
      <c r="C12" s="3">
        <v>3.578</v>
      </c>
      <c r="D12" s="3">
        <v>116.773</v>
      </c>
      <c r="E12" s="3">
        <v>15.343</v>
      </c>
      <c r="F12" s="3">
        <v>0.0</v>
      </c>
      <c r="G12" s="3">
        <v>0.0</v>
      </c>
      <c r="H12" s="3">
        <v>0.0</v>
      </c>
      <c r="I12" s="3">
        <v>0.0</v>
      </c>
      <c r="J12" s="3">
        <v>5.226</v>
      </c>
      <c r="K12" s="3">
        <v>4.0</v>
      </c>
    </row>
    <row r="13">
      <c r="A13" s="4">
        <v>46170.0</v>
      </c>
      <c r="B13" s="3" t="s">
        <v>25</v>
      </c>
      <c r="C13" s="3">
        <v>2.694</v>
      </c>
      <c r="D13" s="3">
        <v>48.064</v>
      </c>
      <c r="E13" s="3">
        <v>15.86</v>
      </c>
      <c r="F13" s="3">
        <v>1.477</v>
      </c>
      <c r="G13" s="3">
        <v>1.0</v>
      </c>
      <c r="H13" s="3">
        <v>0.0</v>
      </c>
      <c r="I13" s="3">
        <v>0.0</v>
      </c>
      <c r="J13" s="3">
        <v>4.946</v>
      </c>
      <c r="K13" s="3">
        <v>1.0</v>
      </c>
    </row>
    <row r="14">
      <c r="A14" s="4">
        <v>46170.0</v>
      </c>
      <c r="B14" s="3" t="s">
        <v>26</v>
      </c>
      <c r="C14" s="3">
        <v>2.794</v>
      </c>
      <c r="D14" s="3">
        <v>69.408</v>
      </c>
      <c r="E14" s="3">
        <v>14.775</v>
      </c>
      <c r="F14" s="3">
        <v>0.0</v>
      </c>
      <c r="G14" s="3">
        <v>0.0</v>
      </c>
      <c r="H14" s="3">
        <v>0.0</v>
      </c>
      <c r="I14" s="3">
        <v>0.0</v>
      </c>
      <c r="J14" s="3">
        <v>4.429</v>
      </c>
      <c r="K14" s="3">
        <v>4.0</v>
      </c>
    </row>
    <row r="15">
      <c r="A15" s="4">
        <v>46170.0</v>
      </c>
      <c r="B15" s="3" t="s">
        <v>27</v>
      </c>
      <c r="C15" s="3">
        <v>2.281</v>
      </c>
      <c r="D15" s="3">
        <v>30.707</v>
      </c>
      <c r="E15" s="3">
        <v>12.789</v>
      </c>
      <c r="F15" s="3">
        <v>0.0</v>
      </c>
      <c r="G15" s="3">
        <v>0.0</v>
      </c>
      <c r="H15" s="3">
        <v>0.0</v>
      </c>
      <c r="I15" s="3">
        <v>0.0</v>
      </c>
      <c r="J15" s="3">
        <v>4.173</v>
      </c>
      <c r="K15" s="3">
        <v>1.0</v>
      </c>
    </row>
    <row r="16">
      <c r="A16" s="4">
        <v>46170.0</v>
      </c>
      <c r="B16" s="3" t="s">
        <v>28</v>
      </c>
      <c r="C16" s="3">
        <v>2.993</v>
      </c>
      <c r="D16" s="3">
        <v>96.261</v>
      </c>
      <c r="E16" s="3">
        <v>16.858</v>
      </c>
      <c r="F16" s="3">
        <v>10.324</v>
      </c>
      <c r="G16" s="3">
        <v>1.0</v>
      </c>
      <c r="H16" s="3">
        <v>7.222</v>
      </c>
      <c r="I16" s="3">
        <v>1.0</v>
      </c>
      <c r="J16" s="3">
        <v>4.512</v>
      </c>
      <c r="K16" s="3">
        <v>5.0</v>
      </c>
    </row>
    <row r="17">
      <c r="A17" s="4">
        <v>46173.0</v>
      </c>
      <c r="B17" s="3" t="s">
        <v>29</v>
      </c>
      <c r="C17" s="3">
        <v>1.063</v>
      </c>
      <c r="D17" s="3">
        <v>2.768</v>
      </c>
      <c r="E17" s="3">
        <v>10.932</v>
      </c>
      <c r="F17" s="3">
        <v>0.0</v>
      </c>
      <c r="G17" s="3">
        <v>0.0</v>
      </c>
      <c r="H17" s="3">
        <v>0.0</v>
      </c>
      <c r="I17" s="3">
        <v>0.0</v>
      </c>
      <c r="J17" s="3">
        <v>4.753</v>
      </c>
      <c r="K17" s="3">
        <v>3.0</v>
      </c>
    </row>
    <row r="18">
      <c r="A18" s="4">
        <v>46173.0</v>
      </c>
      <c r="B18" s="3" t="s">
        <v>22</v>
      </c>
      <c r="C18" s="3">
        <v>5.79</v>
      </c>
      <c r="D18" s="3">
        <v>193.469</v>
      </c>
      <c r="E18" s="3">
        <v>18.907</v>
      </c>
      <c r="F18" s="3">
        <v>74.923</v>
      </c>
      <c r="G18" s="3">
        <v>8.0</v>
      </c>
      <c r="H18" s="3">
        <v>61.165</v>
      </c>
      <c r="I18" s="3">
        <v>5.0</v>
      </c>
      <c r="J18" s="3">
        <v>5.069</v>
      </c>
      <c r="K18" s="3">
        <v>15.0</v>
      </c>
    </row>
    <row r="19">
      <c r="A19" s="4">
        <v>46173.0</v>
      </c>
      <c r="B19" s="3" t="s">
        <v>17</v>
      </c>
      <c r="C19" s="3">
        <v>6.368</v>
      </c>
      <c r="D19" s="3">
        <v>170.099</v>
      </c>
      <c r="E19" s="3">
        <v>17.815</v>
      </c>
      <c r="F19" s="3">
        <v>42.007</v>
      </c>
      <c r="G19" s="3">
        <v>6.0</v>
      </c>
      <c r="H19" s="3">
        <v>35.044</v>
      </c>
      <c r="I19" s="3">
        <v>5.0</v>
      </c>
      <c r="J19" s="3">
        <v>5.116</v>
      </c>
      <c r="K19" s="3">
        <v>19.0</v>
      </c>
    </row>
    <row r="20">
      <c r="A20" s="4">
        <v>46173.0</v>
      </c>
      <c r="B20" s="3" t="s">
        <v>28</v>
      </c>
      <c r="C20" s="3">
        <v>2.279</v>
      </c>
      <c r="D20" s="3">
        <v>47.764</v>
      </c>
      <c r="E20" s="3">
        <v>15.75</v>
      </c>
      <c r="F20" s="3">
        <v>0.747</v>
      </c>
      <c r="G20" s="3">
        <v>1.0</v>
      </c>
      <c r="H20" s="3">
        <v>0.0</v>
      </c>
      <c r="I20" s="3">
        <v>0.0</v>
      </c>
      <c r="J20" s="3">
        <v>3.899</v>
      </c>
      <c r="K20" s="3">
        <v>0.0</v>
      </c>
    </row>
    <row r="21">
      <c r="A21" s="4">
        <v>46173.0</v>
      </c>
      <c r="B21" s="3" t="s">
        <v>19</v>
      </c>
      <c r="C21" s="3">
        <v>5.216</v>
      </c>
      <c r="D21" s="3">
        <v>143.26</v>
      </c>
      <c r="E21" s="3">
        <v>18.025</v>
      </c>
      <c r="F21" s="3">
        <v>21.763</v>
      </c>
      <c r="G21" s="3">
        <v>3.0</v>
      </c>
      <c r="H21" s="3">
        <v>20.19</v>
      </c>
      <c r="I21" s="3">
        <v>3.0</v>
      </c>
      <c r="J21" s="3">
        <v>4.914</v>
      </c>
      <c r="K21" s="3">
        <v>5.0</v>
      </c>
    </row>
    <row r="22">
      <c r="A22" s="4">
        <v>46173.0</v>
      </c>
      <c r="B22" s="3" t="s">
        <v>21</v>
      </c>
      <c r="C22" s="3">
        <v>4.886</v>
      </c>
      <c r="D22" s="3">
        <v>153.743</v>
      </c>
      <c r="E22" s="3">
        <v>17.184</v>
      </c>
      <c r="F22" s="3">
        <v>50.767</v>
      </c>
      <c r="G22" s="3">
        <v>6.0</v>
      </c>
      <c r="H22" s="3">
        <v>36.739</v>
      </c>
      <c r="I22" s="3">
        <v>5.0</v>
      </c>
      <c r="J22" s="3">
        <v>4.691</v>
      </c>
      <c r="K22" s="3">
        <v>6.0</v>
      </c>
    </row>
    <row r="23">
      <c r="A23" s="4">
        <v>46173.0</v>
      </c>
      <c r="B23" s="3" t="s">
        <v>14</v>
      </c>
      <c r="C23" s="3">
        <v>2.452</v>
      </c>
      <c r="D23" s="3">
        <v>44.491</v>
      </c>
      <c r="E23" s="3">
        <v>18.954</v>
      </c>
      <c r="F23" s="3">
        <v>29.327</v>
      </c>
      <c r="G23" s="3">
        <v>2.0</v>
      </c>
      <c r="H23" s="3">
        <v>25.419</v>
      </c>
      <c r="I23" s="3">
        <v>2.0</v>
      </c>
      <c r="J23" s="3">
        <v>5.324</v>
      </c>
      <c r="K23" s="3">
        <v>4.0</v>
      </c>
    </row>
    <row r="24">
      <c r="A24" s="4">
        <v>46173.0</v>
      </c>
      <c r="B24" s="3" t="s">
        <v>20</v>
      </c>
      <c r="C24" s="3">
        <v>3.186</v>
      </c>
      <c r="D24" s="3">
        <v>100.99</v>
      </c>
      <c r="E24" s="3">
        <v>17.741</v>
      </c>
      <c r="F24" s="3">
        <v>61.228</v>
      </c>
      <c r="G24" s="3">
        <v>3.0</v>
      </c>
      <c r="H24" s="3">
        <v>4563.25</v>
      </c>
      <c r="I24" s="3">
        <v>212.0</v>
      </c>
      <c r="J24" s="3">
        <v>6.322</v>
      </c>
      <c r="K24" s="3">
        <v>7.0</v>
      </c>
    </row>
    <row r="25">
      <c r="A25" s="4">
        <v>46173.0</v>
      </c>
      <c r="B25" s="3" t="s">
        <v>18</v>
      </c>
      <c r="C25" s="3">
        <v>6.188</v>
      </c>
      <c r="D25" s="3">
        <v>144.452</v>
      </c>
      <c r="E25" s="3">
        <v>17.846</v>
      </c>
      <c r="F25" s="3">
        <v>34.968</v>
      </c>
      <c r="G25" s="3">
        <v>2.0</v>
      </c>
      <c r="H25" s="3">
        <v>31.014</v>
      </c>
      <c r="I25" s="3">
        <v>2.0</v>
      </c>
      <c r="J25" s="3">
        <v>4.257</v>
      </c>
      <c r="K25" s="3">
        <v>3.0</v>
      </c>
    </row>
    <row r="26">
      <c r="A26" s="4">
        <v>46173.0</v>
      </c>
      <c r="B26" s="3" t="s">
        <v>25</v>
      </c>
      <c r="C26" s="3">
        <v>6.774</v>
      </c>
      <c r="D26" s="3">
        <v>247.911</v>
      </c>
      <c r="E26" s="3">
        <v>18.162</v>
      </c>
      <c r="F26" s="3">
        <v>143.49</v>
      </c>
      <c r="G26" s="3">
        <v>10.0</v>
      </c>
      <c r="H26" s="3">
        <v>112.896</v>
      </c>
      <c r="I26" s="3">
        <v>9.0</v>
      </c>
      <c r="J26" s="3">
        <v>5.36</v>
      </c>
      <c r="K26" s="3">
        <v>12.0</v>
      </c>
    </row>
    <row r="27">
      <c r="A27" s="4">
        <v>46173.0</v>
      </c>
      <c r="B27" s="3" t="s">
        <v>24</v>
      </c>
      <c r="C27" s="3">
        <v>5.19</v>
      </c>
      <c r="D27" s="3">
        <v>204.208</v>
      </c>
      <c r="E27" s="3">
        <v>17.403</v>
      </c>
      <c r="F27" s="3">
        <v>34.177</v>
      </c>
      <c r="G27" s="3">
        <v>5.0</v>
      </c>
      <c r="H27" s="3">
        <v>21.841</v>
      </c>
      <c r="I27" s="3">
        <v>4.0</v>
      </c>
      <c r="J27" s="3">
        <v>5.331</v>
      </c>
      <c r="K27" s="3">
        <v>10.0</v>
      </c>
    </row>
    <row r="28">
      <c r="A28" s="4">
        <v>46173.0</v>
      </c>
      <c r="B28" s="3" t="s">
        <v>27</v>
      </c>
      <c r="C28" s="3">
        <v>3.241</v>
      </c>
      <c r="D28" s="3">
        <v>73.478</v>
      </c>
      <c r="E28" s="3">
        <v>16.987</v>
      </c>
      <c r="F28" s="3">
        <v>25.019</v>
      </c>
      <c r="G28" s="3">
        <v>3.0</v>
      </c>
      <c r="H28" s="3">
        <v>15.83</v>
      </c>
      <c r="I28" s="3">
        <v>2.0</v>
      </c>
      <c r="J28" s="3">
        <v>4.411</v>
      </c>
      <c r="K28" s="3">
        <v>5.0</v>
      </c>
    </row>
    <row r="29">
      <c r="A29" s="4">
        <v>46173.0</v>
      </c>
      <c r="B29" s="3" t="s">
        <v>15</v>
      </c>
      <c r="C29" s="3">
        <v>6.525</v>
      </c>
      <c r="D29" s="3">
        <v>213.316</v>
      </c>
      <c r="E29" s="3">
        <v>17.683</v>
      </c>
      <c r="F29" s="3">
        <v>93.95</v>
      </c>
      <c r="G29" s="3">
        <v>7.0</v>
      </c>
      <c r="H29" s="3">
        <v>80.979</v>
      </c>
      <c r="I29" s="3">
        <v>6.0</v>
      </c>
      <c r="J29" s="3">
        <v>4.437</v>
      </c>
      <c r="K29" s="3">
        <v>3.0</v>
      </c>
    </row>
    <row r="30">
      <c r="A30" s="4">
        <v>46173.0</v>
      </c>
      <c r="B30" s="3" t="s">
        <v>16</v>
      </c>
      <c r="C30" s="3">
        <v>6.389</v>
      </c>
      <c r="D30" s="3">
        <v>197.229</v>
      </c>
      <c r="E30" s="3">
        <v>19.036</v>
      </c>
      <c r="F30" s="3">
        <v>105.478</v>
      </c>
      <c r="G30" s="3">
        <v>12.0</v>
      </c>
      <c r="H30" s="3">
        <v>83.693</v>
      </c>
      <c r="I30" s="3">
        <v>10.0</v>
      </c>
      <c r="J30" s="3">
        <v>5.011</v>
      </c>
      <c r="K30" s="3">
        <v>7.0</v>
      </c>
    </row>
    <row r="31">
      <c r="A31" s="4">
        <v>46173.0</v>
      </c>
      <c r="B31" s="3" t="s">
        <v>23</v>
      </c>
      <c r="C31" s="3">
        <v>6.476</v>
      </c>
      <c r="D31" s="3">
        <v>150.24</v>
      </c>
      <c r="E31" s="3">
        <v>16.5</v>
      </c>
      <c r="F31" s="3">
        <v>16.486</v>
      </c>
      <c r="G31" s="3">
        <v>3.0</v>
      </c>
      <c r="H31" s="3">
        <v>8.859</v>
      </c>
      <c r="I31" s="3">
        <v>3.0</v>
      </c>
      <c r="J31" s="3">
        <v>4.934</v>
      </c>
      <c r="K31" s="3">
        <v>8.0</v>
      </c>
    </row>
    <row r="32">
      <c r="A32" s="4">
        <v>46173.0</v>
      </c>
      <c r="B32" s="3" t="s">
        <v>26</v>
      </c>
      <c r="C32" s="3">
        <v>2.172</v>
      </c>
      <c r="D32" s="3">
        <v>37.263</v>
      </c>
      <c r="E32" s="3">
        <v>17.345</v>
      </c>
      <c r="F32" s="3">
        <v>20.604</v>
      </c>
      <c r="G32" s="3">
        <v>1.0</v>
      </c>
      <c r="H32" s="3">
        <v>15.927</v>
      </c>
      <c r="I32" s="3">
        <v>1.0</v>
      </c>
      <c r="J32" s="3">
        <v>4.913</v>
      </c>
      <c r="K32" s="3">
        <v>2.0</v>
      </c>
    </row>
    <row r="33">
      <c r="A33" s="4">
        <v>46180.0</v>
      </c>
      <c r="B33" s="3" t="s">
        <v>22</v>
      </c>
      <c r="C33" s="3">
        <v>4.14</v>
      </c>
      <c r="D33" s="3">
        <v>160.072</v>
      </c>
      <c r="E33" s="3">
        <v>20.457</v>
      </c>
      <c r="F33" s="3">
        <v>84.332</v>
      </c>
      <c r="G33" s="3">
        <v>6.0</v>
      </c>
      <c r="H33" s="3">
        <v>78.092</v>
      </c>
      <c r="I33" s="3">
        <v>6.0</v>
      </c>
      <c r="J33" s="3">
        <v>5.065</v>
      </c>
      <c r="K33" s="3">
        <v>7.0</v>
      </c>
    </row>
    <row r="34">
      <c r="A34" s="4">
        <v>46180.0</v>
      </c>
      <c r="B34" s="3" t="s">
        <v>17</v>
      </c>
      <c r="C34" s="3">
        <v>5.594</v>
      </c>
      <c r="D34" s="3">
        <v>170.598</v>
      </c>
      <c r="E34" s="3">
        <v>18.781</v>
      </c>
      <c r="F34" s="3">
        <v>65.518</v>
      </c>
      <c r="G34" s="3">
        <v>7.0</v>
      </c>
      <c r="H34" s="3">
        <v>35.419</v>
      </c>
      <c r="I34" s="3">
        <v>5.0</v>
      </c>
      <c r="J34" s="3">
        <v>4.697</v>
      </c>
      <c r="K34" s="3">
        <v>6.0</v>
      </c>
    </row>
    <row r="35">
      <c r="A35" s="4">
        <v>46180.0</v>
      </c>
      <c r="B35" s="3" t="s">
        <v>18</v>
      </c>
      <c r="C35" s="3">
        <v>5.999</v>
      </c>
      <c r="D35" s="3">
        <v>159.255</v>
      </c>
      <c r="E35" s="3">
        <v>17.632</v>
      </c>
      <c r="F35" s="3">
        <v>34.339</v>
      </c>
      <c r="G35" s="3">
        <v>2.0</v>
      </c>
      <c r="H35" s="3">
        <v>30.497</v>
      </c>
      <c r="I35" s="3">
        <v>1.0</v>
      </c>
      <c r="J35" s="3">
        <v>4.134</v>
      </c>
      <c r="K35" s="3">
        <v>1.0</v>
      </c>
    </row>
    <row r="36">
      <c r="A36" s="4">
        <v>46180.0</v>
      </c>
      <c r="B36" s="3" t="s">
        <v>14</v>
      </c>
      <c r="C36" s="3">
        <v>2.614</v>
      </c>
      <c r="D36" s="3">
        <v>86.693</v>
      </c>
      <c r="E36" s="3">
        <v>16.475</v>
      </c>
      <c r="F36" s="3">
        <v>15.51</v>
      </c>
      <c r="G36" s="3">
        <v>2.0</v>
      </c>
      <c r="H36" s="3">
        <v>10.248</v>
      </c>
      <c r="I36" s="3">
        <v>1.0</v>
      </c>
      <c r="J36" s="3">
        <v>4.988</v>
      </c>
      <c r="K36" s="3">
        <v>8.0</v>
      </c>
    </row>
    <row r="37">
      <c r="A37" s="4">
        <v>46180.0</v>
      </c>
      <c r="B37" s="3" t="s">
        <v>19</v>
      </c>
      <c r="C37" s="3">
        <v>3.495</v>
      </c>
      <c r="D37" s="3">
        <v>124.53</v>
      </c>
      <c r="E37" s="3">
        <v>17.195</v>
      </c>
      <c r="F37" s="3">
        <v>22.444</v>
      </c>
      <c r="G37" s="3">
        <v>2.0</v>
      </c>
      <c r="H37" s="3">
        <v>20.845</v>
      </c>
      <c r="I37" s="3">
        <v>2.0</v>
      </c>
      <c r="J37" s="3">
        <v>5.04</v>
      </c>
      <c r="K37" s="3">
        <v>4.0</v>
      </c>
    </row>
    <row r="38">
      <c r="A38" s="4">
        <v>46180.0</v>
      </c>
      <c r="B38" s="3" t="s">
        <v>26</v>
      </c>
      <c r="C38" s="3">
        <v>2.816</v>
      </c>
      <c r="D38" s="3">
        <v>103.797</v>
      </c>
      <c r="E38" s="3">
        <v>17.86</v>
      </c>
      <c r="F38" s="3">
        <v>38.635</v>
      </c>
      <c r="G38" s="3">
        <v>3.0</v>
      </c>
      <c r="H38" s="3">
        <v>27.054</v>
      </c>
      <c r="I38" s="3">
        <v>3.0</v>
      </c>
      <c r="J38" s="3">
        <v>4.982</v>
      </c>
      <c r="K38" s="3">
        <v>5.0</v>
      </c>
    </row>
    <row r="39">
      <c r="A39" s="4">
        <v>46180.0</v>
      </c>
      <c r="B39" s="3" t="s">
        <v>24</v>
      </c>
      <c r="C39" s="3">
        <v>4.824</v>
      </c>
      <c r="D39" s="3">
        <v>221.748</v>
      </c>
      <c r="E39" s="3">
        <v>18.43</v>
      </c>
      <c r="F39" s="3">
        <v>99.715</v>
      </c>
      <c r="G39" s="3">
        <v>8.0</v>
      </c>
      <c r="H39" s="3">
        <v>83.478</v>
      </c>
      <c r="I39" s="3">
        <v>7.0</v>
      </c>
      <c r="J39" s="3">
        <v>4.159</v>
      </c>
      <c r="K39" s="3">
        <v>2.0</v>
      </c>
    </row>
    <row r="40">
      <c r="A40" s="4">
        <v>46180.0</v>
      </c>
      <c r="B40" s="3" t="s">
        <v>25</v>
      </c>
      <c r="C40" s="3">
        <v>5.795</v>
      </c>
      <c r="D40" s="3">
        <v>268.853</v>
      </c>
      <c r="E40" s="3">
        <v>18.658</v>
      </c>
      <c r="F40" s="3">
        <v>198.246</v>
      </c>
      <c r="G40" s="3">
        <v>15.0</v>
      </c>
      <c r="H40" s="3">
        <v>158.353</v>
      </c>
      <c r="I40" s="3">
        <v>14.0</v>
      </c>
      <c r="J40" s="3">
        <v>4.776</v>
      </c>
      <c r="K40" s="3">
        <v>10.0</v>
      </c>
    </row>
    <row r="41">
      <c r="A41" s="4">
        <v>46180.0</v>
      </c>
      <c r="B41" s="3" t="s">
        <v>29</v>
      </c>
      <c r="C41" s="3">
        <v>4.226</v>
      </c>
      <c r="D41" s="3">
        <v>108.769</v>
      </c>
      <c r="E41" s="3">
        <v>16.488</v>
      </c>
      <c r="F41" s="3">
        <v>11.469</v>
      </c>
      <c r="G41" s="3">
        <v>1.0</v>
      </c>
      <c r="H41" s="3">
        <v>7.78</v>
      </c>
      <c r="I41" s="3">
        <v>1.0</v>
      </c>
      <c r="J41" s="3">
        <v>4.631</v>
      </c>
      <c r="K41" s="3">
        <v>2.0</v>
      </c>
    </row>
    <row r="42">
      <c r="A42" s="4">
        <v>46180.0</v>
      </c>
      <c r="B42" s="3" t="s">
        <v>16</v>
      </c>
      <c r="C42" s="3">
        <v>5.428</v>
      </c>
      <c r="D42" s="3">
        <v>128.039</v>
      </c>
      <c r="E42" s="3">
        <v>17.048</v>
      </c>
      <c r="F42" s="3">
        <v>26.189</v>
      </c>
      <c r="G42" s="3">
        <v>3.0</v>
      </c>
      <c r="H42" s="3">
        <v>14.672</v>
      </c>
      <c r="I42" s="3">
        <v>2.0</v>
      </c>
      <c r="J42" s="3">
        <v>4.63</v>
      </c>
      <c r="K42" s="3">
        <v>1.0</v>
      </c>
    </row>
    <row r="43">
      <c r="A43" s="4">
        <v>46180.0</v>
      </c>
      <c r="B43" s="3" t="s">
        <v>23</v>
      </c>
      <c r="C43" s="3">
        <v>5.208</v>
      </c>
      <c r="D43" s="3">
        <v>157.964</v>
      </c>
      <c r="E43" s="3">
        <v>17.491</v>
      </c>
      <c r="F43" s="3">
        <v>28.243</v>
      </c>
      <c r="G43" s="3">
        <v>5.0</v>
      </c>
      <c r="H43" s="3">
        <v>21.985</v>
      </c>
      <c r="I43" s="3">
        <v>3.0</v>
      </c>
      <c r="J43" s="3">
        <v>4.796</v>
      </c>
      <c r="K43" s="3">
        <v>2.0</v>
      </c>
    </row>
    <row r="44">
      <c r="A44" s="4">
        <v>46180.0</v>
      </c>
      <c r="B44" s="3" t="s">
        <v>20</v>
      </c>
      <c r="C44" s="3">
        <v>5.328</v>
      </c>
      <c r="D44" s="3">
        <v>204.009</v>
      </c>
      <c r="E44" s="3">
        <v>17.934</v>
      </c>
      <c r="F44" s="3">
        <v>89.067</v>
      </c>
      <c r="G44" s="3">
        <v>12.0</v>
      </c>
      <c r="H44" s="3">
        <v>8749.624</v>
      </c>
      <c r="I44" s="3">
        <v>360.0</v>
      </c>
      <c r="J44" s="3">
        <v>4.296</v>
      </c>
      <c r="K44" s="3">
        <v>3.0</v>
      </c>
    </row>
    <row r="45">
      <c r="A45" s="4">
        <v>46180.0</v>
      </c>
      <c r="B45" s="3" t="s">
        <v>21</v>
      </c>
      <c r="C45" s="3">
        <v>3.087</v>
      </c>
      <c r="D45" s="3">
        <v>116.669</v>
      </c>
      <c r="E45" s="3">
        <v>18.866</v>
      </c>
      <c r="F45" s="3">
        <v>37.23</v>
      </c>
      <c r="G45" s="3">
        <v>3.0</v>
      </c>
      <c r="H45" s="3">
        <v>29.63</v>
      </c>
      <c r="I45" s="3">
        <v>2.0</v>
      </c>
      <c r="J45" s="3">
        <v>5.213</v>
      </c>
      <c r="K45" s="3">
        <v>5.0</v>
      </c>
    </row>
    <row r="46">
      <c r="A46" s="4">
        <v>46180.0</v>
      </c>
      <c r="B46" s="3" t="s">
        <v>27</v>
      </c>
      <c r="C46" s="3">
        <v>3.029</v>
      </c>
      <c r="D46" s="3">
        <v>81.334</v>
      </c>
      <c r="E46" s="3">
        <v>17.992</v>
      </c>
      <c r="F46" s="3">
        <v>27.017</v>
      </c>
      <c r="G46" s="3">
        <v>1.0</v>
      </c>
      <c r="H46" s="3">
        <v>23.827</v>
      </c>
      <c r="I46" s="3">
        <v>1.0</v>
      </c>
      <c r="J46" s="3">
        <v>5.056</v>
      </c>
      <c r="K46" s="3">
        <v>3.0</v>
      </c>
    </row>
    <row r="47">
      <c r="A47" s="4">
        <v>46180.0</v>
      </c>
      <c r="B47" s="3" t="s">
        <v>15</v>
      </c>
      <c r="C47" s="3">
        <v>4.961</v>
      </c>
      <c r="D47" s="3">
        <v>249.109</v>
      </c>
      <c r="E47" s="3">
        <v>19.135</v>
      </c>
      <c r="F47" s="3">
        <v>248.928</v>
      </c>
      <c r="G47" s="3">
        <v>16.0</v>
      </c>
      <c r="H47" s="3">
        <v>207.341</v>
      </c>
      <c r="I47" s="3">
        <v>15.0</v>
      </c>
      <c r="J47" s="3">
        <v>4.117</v>
      </c>
      <c r="K47" s="3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21.38"/>
    <col customWidth="1" min="3" max="3" width="11.88"/>
    <col customWidth="1" min="4" max="4" width="13.0"/>
    <col customWidth="1" min="5" max="5" width="21.38"/>
    <col customWidth="1" min="7" max="7" width="13.0"/>
    <col customWidth="1" min="8" max="8" width="21.38"/>
    <col customWidth="1" min="11" max="11" width="25.5"/>
  </cols>
  <sheetData>
    <row r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7"/>
      <c r="O1" s="5"/>
      <c r="P1" s="6"/>
      <c r="Q1" s="7"/>
      <c r="R1" s="5"/>
      <c r="S1" s="5"/>
      <c r="T1" s="5"/>
      <c r="U1" s="5"/>
      <c r="V1" s="5"/>
      <c r="W1" s="5"/>
      <c r="X1" s="5"/>
      <c r="Y1" s="5"/>
      <c r="Z1" s="5"/>
    </row>
    <row r="2">
      <c r="C2" s="10"/>
      <c r="F2" s="5"/>
      <c r="I2" s="5"/>
      <c r="L2" s="5"/>
      <c r="O2" s="5"/>
      <c r="R2" s="5"/>
      <c r="S2" s="5"/>
      <c r="T2" s="5"/>
      <c r="U2" s="5"/>
      <c r="V2" s="5"/>
      <c r="W2" s="5"/>
      <c r="X2" s="5"/>
      <c r="Y2" s="5"/>
      <c r="Z2" s="5"/>
    </row>
    <row r="3">
      <c r="C3" s="15"/>
      <c r="F3" s="6"/>
      <c r="I3" s="6"/>
      <c r="L3" s="16"/>
      <c r="O3" s="16"/>
      <c r="R3" s="5"/>
      <c r="S3" s="5"/>
      <c r="T3" s="5"/>
      <c r="U3" s="5"/>
      <c r="V3" s="5"/>
      <c r="W3" s="5"/>
      <c r="X3" s="5"/>
      <c r="Y3" s="5"/>
      <c r="Z3" s="5"/>
    </row>
    <row r="4">
      <c r="C4" s="15"/>
      <c r="F4" s="6"/>
      <c r="I4" s="6"/>
      <c r="L4" s="19"/>
      <c r="O4" s="22"/>
      <c r="R4" s="5"/>
      <c r="S4" s="5"/>
      <c r="T4" s="5"/>
      <c r="U4" s="5"/>
      <c r="V4" s="5"/>
      <c r="W4" s="5"/>
      <c r="X4" s="5"/>
      <c r="Y4" s="5"/>
      <c r="Z4" s="5"/>
    </row>
    <row r="5">
      <c r="C5" s="15"/>
      <c r="F5" s="6"/>
      <c r="I5" s="6"/>
      <c r="L5" s="5"/>
      <c r="O5" s="5"/>
      <c r="R5" s="5"/>
      <c r="S5" s="5"/>
      <c r="T5" s="5"/>
      <c r="U5" s="5"/>
      <c r="V5" s="5"/>
      <c r="W5" s="5"/>
      <c r="X5" s="5"/>
      <c r="Y5" s="5"/>
      <c r="Z5" s="5"/>
    </row>
    <row r="6">
      <c r="C6" s="15"/>
      <c r="F6" s="6"/>
      <c r="I6" s="6"/>
      <c r="L6" s="5"/>
      <c r="O6" s="5"/>
      <c r="R6" s="5"/>
      <c r="S6" s="5"/>
      <c r="T6" s="5"/>
      <c r="U6" s="5"/>
      <c r="V6" s="5"/>
      <c r="W6" s="5"/>
      <c r="X6" s="5"/>
      <c r="Y6" s="5"/>
      <c r="Z6" s="5"/>
    </row>
    <row r="7">
      <c r="C7" s="15"/>
      <c r="F7" s="6"/>
      <c r="I7" s="6"/>
      <c r="L7" s="5"/>
      <c r="O7" s="5"/>
      <c r="R7" s="5"/>
      <c r="S7" s="5"/>
      <c r="T7" s="5"/>
      <c r="U7" s="5"/>
      <c r="V7" s="5"/>
      <c r="W7" s="5"/>
      <c r="X7" s="5"/>
      <c r="Y7" s="5"/>
      <c r="Z7" s="5"/>
    </row>
    <row r="8">
      <c r="C8" s="15"/>
      <c r="F8" s="6"/>
      <c r="I8" s="6"/>
      <c r="L8" s="5"/>
      <c r="O8" s="5"/>
      <c r="R8" s="5"/>
      <c r="S8" s="5"/>
      <c r="T8" s="5"/>
      <c r="U8" s="5"/>
      <c r="V8" s="5"/>
      <c r="W8" s="5"/>
      <c r="X8" s="5"/>
      <c r="Y8" s="5"/>
      <c r="Z8" s="5"/>
    </row>
    <row r="9">
      <c r="C9" s="15"/>
      <c r="F9" s="6"/>
      <c r="I9" s="6"/>
      <c r="L9" s="5"/>
      <c r="O9" s="5"/>
      <c r="R9" s="5"/>
      <c r="S9" s="5"/>
      <c r="T9" s="5"/>
      <c r="U9" s="5"/>
      <c r="V9" s="5"/>
      <c r="W9" s="5"/>
      <c r="X9" s="5"/>
      <c r="Y9" s="5"/>
      <c r="Z9" s="5"/>
    </row>
    <row r="10">
      <c r="C10" s="15"/>
      <c r="F10" s="6"/>
      <c r="I10" s="6"/>
      <c r="L10" s="5"/>
      <c r="O10" s="5"/>
      <c r="R10" s="5"/>
      <c r="S10" s="5"/>
      <c r="T10" s="5"/>
      <c r="U10" s="5"/>
      <c r="V10" s="5"/>
      <c r="W10" s="5"/>
      <c r="X10" s="5"/>
      <c r="Y10" s="5"/>
      <c r="Z10" s="5"/>
    </row>
    <row r="11">
      <c r="C11" s="15"/>
      <c r="F11" s="6"/>
      <c r="I11" s="6"/>
      <c r="L11" s="5"/>
      <c r="O11" s="5"/>
      <c r="R11" s="5"/>
      <c r="S11" s="5"/>
      <c r="T11" s="5"/>
      <c r="U11" s="5"/>
      <c r="V11" s="5"/>
      <c r="W11" s="5"/>
      <c r="X11" s="5"/>
      <c r="Y11" s="5"/>
      <c r="Z11" s="5"/>
    </row>
    <row r="12">
      <c r="C12" s="15"/>
      <c r="F12" s="6"/>
      <c r="I12" s="6"/>
      <c r="L12" s="5"/>
      <c r="O12" s="5"/>
      <c r="R12" s="5"/>
      <c r="S12" s="5"/>
      <c r="T12" s="5"/>
      <c r="U12" s="5"/>
      <c r="V12" s="5"/>
      <c r="W12" s="5"/>
      <c r="X12" s="5"/>
      <c r="Y12" s="5"/>
      <c r="Z12" s="5"/>
    </row>
    <row r="13">
      <c r="C13" s="15"/>
      <c r="F13" s="6"/>
      <c r="I13" s="6"/>
      <c r="L13" s="5"/>
      <c r="O13" s="5"/>
      <c r="R13" s="5"/>
      <c r="S13" s="5"/>
      <c r="T13" s="5"/>
      <c r="U13" s="5"/>
      <c r="V13" s="5"/>
      <c r="W13" s="5"/>
      <c r="X13" s="5"/>
      <c r="Y13" s="5"/>
      <c r="Z13" s="5"/>
    </row>
    <row r="14">
      <c r="C14" s="15"/>
      <c r="F14" s="6"/>
      <c r="I14" s="6"/>
      <c r="L14" s="5"/>
      <c r="O14" s="5"/>
      <c r="R14" s="5"/>
      <c r="S14" s="5"/>
      <c r="T14" s="5"/>
      <c r="U14" s="5"/>
      <c r="V14" s="5"/>
      <c r="W14" s="5"/>
      <c r="X14" s="5"/>
      <c r="Y14" s="5"/>
      <c r="Z14" s="5"/>
    </row>
    <row r="15">
      <c r="C15" s="15"/>
      <c r="F15" s="6"/>
      <c r="I15" s="6"/>
      <c r="L15" s="5"/>
      <c r="O15" s="5"/>
      <c r="R15" s="5"/>
      <c r="S15" s="5"/>
      <c r="T15" s="5"/>
      <c r="U15" s="5"/>
      <c r="V15" s="5"/>
      <c r="W15" s="5"/>
      <c r="X15" s="5"/>
      <c r="Y15" s="5"/>
      <c r="Z15" s="5"/>
    </row>
    <row r="16">
      <c r="C16" s="10"/>
      <c r="F16" s="5"/>
      <c r="I16" s="5"/>
      <c r="L16" s="5"/>
      <c r="O16" s="5"/>
      <c r="R16" s="5"/>
      <c r="S16" s="5"/>
      <c r="T16" s="5"/>
      <c r="U16" s="5"/>
      <c r="V16" s="5"/>
      <c r="W16" s="5"/>
      <c r="X16" s="5"/>
      <c r="Y16" s="5"/>
      <c r="Z16" s="5"/>
    </row>
    <row r="17">
      <c r="C17" s="10"/>
      <c r="F17" s="5"/>
      <c r="I17" s="5"/>
      <c r="L17" s="5"/>
      <c r="O17" s="5"/>
      <c r="R17" s="5"/>
      <c r="S17" s="5"/>
      <c r="T17" s="5"/>
      <c r="U17" s="5"/>
      <c r="V17" s="5"/>
      <c r="W17" s="5"/>
      <c r="X17" s="5"/>
      <c r="Y17" s="5"/>
      <c r="Z17" s="5"/>
    </row>
    <row r="18">
      <c r="C18" s="10"/>
      <c r="F18" s="5"/>
      <c r="I18" s="5"/>
      <c r="L18" s="5"/>
      <c r="O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3"/>
      <c r="B19" s="14"/>
      <c r="C19" s="5"/>
      <c r="D19" s="13"/>
      <c r="E19" s="14"/>
      <c r="F19" s="5"/>
      <c r="G19" s="13"/>
      <c r="H19" s="14"/>
      <c r="I19" s="5"/>
      <c r="J19" s="13"/>
      <c r="K19" s="14"/>
      <c r="L19" s="5"/>
      <c r="M19" s="23"/>
      <c r="N19" s="24"/>
      <c r="O19" s="5"/>
      <c r="P19" s="23"/>
      <c r="Q19" s="24"/>
      <c r="R19" s="5"/>
      <c r="S19" s="5"/>
      <c r="T19" s="5"/>
      <c r="U19" s="5"/>
      <c r="V19" s="5"/>
      <c r="W19" s="5"/>
      <c r="X19" s="5"/>
      <c r="Y19" s="5"/>
      <c r="Z19" s="5"/>
    </row>
    <row r="20">
      <c r="A20" s="13"/>
      <c r="B20" s="14"/>
      <c r="C20" s="5"/>
      <c r="D20" s="13"/>
      <c r="E20" s="14"/>
      <c r="F20" s="5"/>
      <c r="G20" s="13"/>
      <c r="H20" s="14"/>
      <c r="I20" s="5"/>
      <c r="J20" s="13"/>
      <c r="K20" s="14"/>
      <c r="L20" s="5"/>
      <c r="M20" s="23"/>
      <c r="N20" s="24"/>
      <c r="O20" s="5"/>
      <c r="P20" s="23"/>
      <c r="Q20" s="24"/>
      <c r="R20" s="5"/>
      <c r="S20" s="5"/>
      <c r="T20" s="5"/>
      <c r="U20" s="5"/>
      <c r="V20" s="5"/>
      <c r="W20" s="5"/>
      <c r="X20" s="5"/>
      <c r="Y20" s="5"/>
      <c r="Z20" s="5"/>
    </row>
    <row r="21">
      <c r="A21" s="13"/>
      <c r="B21" s="14"/>
      <c r="C21" s="5"/>
      <c r="D21" s="13"/>
      <c r="E21" s="14"/>
      <c r="F21" s="5"/>
      <c r="G21" s="13"/>
      <c r="H21" s="14"/>
      <c r="I21" s="5"/>
      <c r="J21" s="13"/>
      <c r="K21" s="14"/>
      <c r="L21" s="5"/>
      <c r="M21" s="23"/>
      <c r="N21" s="24"/>
      <c r="O21" s="5"/>
      <c r="P21" s="23"/>
      <c r="Q21" s="24"/>
      <c r="R21" s="5"/>
      <c r="S21" s="5"/>
      <c r="T21" s="5"/>
      <c r="U21" s="5"/>
      <c r="V21" s="5"/>
      <c r="W21" s="5"/>
      <c r="X21" s="5"/>
      <c r="Y21" s="5"/>
      <c r="Z21" s="5"/>
    </row>
    <row r="22">
      <c r="A22" s="13"/>
      <c r="B22" s="14"/>
      <c r="C22" s="5"/>
      <c r="D22" s="13"/>
      <c r="E22" s="14"/>
      <c r="F22" s="5"/>
      <c r="G22" s="13"/>
      <c r="H22" s="14"/>
      <c r="I22" s="5"/>
      <c r="J22" s="13"/>
      <c r="K22" s="14"/>
      <c r="L22" s="5"/>
      <c r="M22" s="23"/>
      <c r="N22" s="24"/>
      <c r="O22" s="5"/>
      <c r="P22" s="23"/>
      <c r="Q22" s="24"/>
      <c r="R22" s="5"/>
      <c r="S22" s="5"/>
      <c r="T22" s="5"/>
      <c r="U22" s="5"/>
      <c r="V22" s="5"/>
      <c r="W22" s="5"/>
      <c r="X22" s="5"/>
      <c r="Y22" s="5"/>
      <c r="Z22" s="5"/>
    </row>
    <row r="23">
      <c r="A23" s="13"/>
      <c r="B23" s="14"/>
      <c r="C23" s="5"/>
      <c r="D23" s="13"/>
      <c r="E23" s="14"/>
      <c r="F23" s="5"/>
      <c r="G23" s="13"/>
      <c r="H23" s="14"/>
      <c r="I23" s="5"/>
      <c r="J23" s="13"/>
      <c r="K23" s="14"/>
      <c r="L23" s="5"/>
      <c r="M23" s="23"/>
      <c r="N23" s="24"/>
      <c r="O23" s="5"/>
      <c r="P23" s="23"/>
      <c r="Q23" s="24"/>
      <c r="R23" s="5"/>
      <c r="S23" s="5"/>
      <c r="T23" s="5"/>
      <c r="U23" s="5"/>
      <c r="V23" s="5"/>
      <c r="W23" s="5"/>
      <c r="X23" s="5"/>
      <c r="Y23" s="5"/>
      <c r="Z23" s="5"/>
    </row>
    <row r="24">
      <c r="A24" s="13"/>
      <c r="B24" s="14"/>
      <c r="C24" s="5"/>
      <c r="D24" s="13"/>
      <c r="E24" s="14"/>
      <c r="F24" s="5"/>
      <c r="G24" s="13"/>
      <c r="H24" s="14"/>
      <c r="I24" s="5"/>
      <c r="J24" s="13"/>
      <c r="K24" s="14"/>
      <c r="L24" s="5"/>
      <c r="M24" s="23"/>
      <c r="N24" s="24"/>
      <c r="O24" s="5"/>
      <c r="P24" s="23"/>
      <c r="Q24" s="24"/>
      <c r="R24" s="5"/>
      <c r="S24" s="5"/>
      <c r="T24" s="5"/>
      <c r="U24" s="5"/>
      <c r="V24" s="5"/>
      <c r="W24" s="5"/>
      <c r="X24" s="5"/>
      <c r="Y24" s="5"/>
      <c r="Z24" s="5"/>
    </row>
    <row r="25">
      <c r="A25" s="13"/>
      <c r="B25" s="14"/>
      <c r="C25" s="5"/>
      <c r="D25" s="13"/>
      <c r="E25" s="14"/>
      <c r="F25" s="5"/>
      <c r="G25" s="13"/>
      <c r="H25" s="14"/>
      <c r="I25" s="5"/>
      <c r="J25" s="13"/>
      <c r="K25" s="14"/>
      <c r="L25" s="5"/>
      <c r="M25" s="23"/>
      <c r="N25" s="24"/>
      <c r="O25" s="5"/>
      <c r="P25" s="23"/>
      <c r="Q25" s="24"/>
      <c r="R25" s="5"/>
      <c r="S25" s="5"/>
      <c r="T25" s="5"/>
      <c r="U25" s="5"/>
      <c r="V25" s="5"/>
      <c r="W25" s="5"/>
      <c r="X25" s="5"/>
      <c r="Y25" s="5"/>
      <c r="Z25" s="5"/>
    </row>
    <row r="26">
      <c r="A26" s="13"/>
      <c r="B26" s="14"/>
      <c r="C26" s="5"/>
      <c r="D26" s="13"/>
      <c r="E26" s="14"/>
      <c r="F26" s="5"/>
      <c r="G26" s="13"/>
      <c r="H26" s="14"/>
      <c r="I26" s="5"/>
      <c r="J26" s="13"/>
      <c r="K26" s="14"/>
      <c r="L26" s="5"/>
      <c r="M26" s="23"/>
      <c r="N26" s="24"/>
      <c r="O26" s="5"/>
      <c r="P26" s="23"/>
      <c r="Q26" s="24"/>
      <c r="R26" s="5"/>
      <c r="S26" s="5"/>
      <c r="T26" s="5"/>
      <c r="U26" s="5"/>
      <c r="V26" s="5"/>
      <c r="W26" s="5"/>
      <c r="X26" s="5"/>
      <c r="Y26" s="5"/>
      <c r="Z26" s="5"/>
    </row>
    <row r="27">
      <c r="A27" s="13"/>
      <c r="B27" s="14"/>
      <c r="C27" s="5"/>
      <c r="D27" s="13"/>
      <c r="E27" s="14"/>
      <c r="F27" s="5"/>
      <c r="G27" s="13"/>
      <c r="H27" s="14"/>
      <c r="I27" s="5"/>
      <c r="J27" s="13"/>
      <c r="K27" s="14"/>
      <c r="L27" s="5"/>
      <c r="M27" s="23"/>
      <c r="N27" s="24"/>
      <c r="O27" s="5"/>
      <c r="P27" s="23"/>
      <c r="Q27" s="24"/>
      <c r="R27" s="5"/>
      <c r="S27" s="5"/>
      <c r="T27" s="5"/>
      <c r="U27" s="5"/>
      <c r="V27" s="5"/>
      <c r="W27" s="5"/>
      <c r="X27" s="5"/>
      <c r="Y27" s="5"/>
      <c r="Z27" s="5"/>
    </row>
    <row r="28">
      <c r="A28" s="13"/>
      <c r="B28" s="14"/>
      <c r="C28" s="5"/>
      <c r="D28" s="13"/>
      <c r="E28" s="14"/>
      <c r="F28" s="5"/>
      <c r="G28" s="13"/>
      <c r="H28" s="14"/>
      <c r="I28" s="5"/>
      <c r="J28" s="13"/>
      <c r="K28" s="14"/>
      <c r="L28" s="5"/>
      <c r="M28" s="23"/>
      <c r="N28" s="24"/>
      <c r="O28" s="5"/>
      <c r="P28" s="23"/>
      <c r="Q28" s="24"/>
      <c r="R28" s="5"/>
      <c r="S28" s="5"/>
      <c r="T28" s="5"/>
      <c r="U28" s="5"/>
      <c r="V28" s="5"/>
      <c r="W28" s="5"/>
      <c r="X28" s="5"/>
      <c r="Y28" s="5"/>
      <c r="Z28" s="5"/>
    </row>
    <row r="29">
      <c r="A29" s="13"/>
      <c r="B29" s="14"/>
      <c r="C29" s="5"/>
      <c r="D29" s="13"/>
      <c r="E29" s="14"/>
      <c r="F29" s="5"/>
      <c r="G29" s="13"/>
      <c r="H29" s="14"/>
      <c r="I29" s="5"/>
      <c r="J29" s="13"/>
      <c r="K29" s="14"/>
      <c r="L29" s="5"/>
      <c r="M29" s="23"/>
      <c r="N29" s="24"/>
      <c r="O29" s="5"/>
      <c r="P29" s="23"/>
      <c r="Q29" s="24"/>
      <c r="R29" s="5"/>
      <c r="S29" s="5"/>
      <c r="T29" s="5"/>
      <c r="U29" s="5"/>
      <c r="V29" s="5"/>
      <c r="W29" s="5"/>
      <c r="X29" s="5"/>
      <c r="Y29" s="5"/>
      <c r="Z29" s="5"/>
    </row>
    <row r="30">
      <c r="A30" s="13"/>
      <c r="B30" s="14"/>
      <c r="C30" s="5"/>
      <c r="D30" s="13"/>
      <c r="E30" s="14"/>
      <c r="F30" s="5"/>
      <c r="G30" s="13"/>
      <c r="H30" s="14"/>
      <c r="I30" s="5"/>
      <c r="J30" s="13"/>
      <c r="K30" s="14"/>
      <c r="L30" s="5"/>
      <c r="M30" s="23"/>
      <c r="N30" s="24"/>
      <c r="O30" s="5"/>
      <c r="P30" s="23"/>
      <c r="Q30" s="24"/>
      <c r="R30" s="5"/>
      <c r="S30" s="5"/>
      <c r="T30" s="5"/>
      <c r="U30" s="5"/>
      <c r="V30" s="5"/>
      <c r="W30" s="5"/>
      <c r="X30" s="5"/>
      <c r="Y30" s="5"/>
      <c r="Z30" s="5"/>
    </row>
    <row r="31">
      <c r="A31" s="13"/>
      <c r="B31" s="14"/>
      <c r="C31" s="5"/>
      <c r="D31" s="13"/>
      <c r="E31" s="14"/>
      <c r="F31" s="5"/>
      <c r="G31" s="13"/>
      <c r="H31" s="14"/>
      <c r="I31" s="5"/>
      <c r="J31" s="13"/>
      <c r="K31" s="14"/>
      <c r="L31" s="5"/>
      <c r="M31" s="23"/>
      <c r="N31" s="24"/>
      <c r="O31" s="5"/>
      <c r="P31" s="23"/>
      <c r="Q31" s="24"/>
      <c r="R31" s="5"/>
      <c r="S31" s="5"/>
      <c r="T31" s="5"/>
      <c r="U31" s="5"/>
      <c r="V31" s="5"/>
      <c r="W31" s="5"/>
      <c r="X31" s="5"/>
      <c r="Y31" s="5"/>
      <c r="Z31" s="5"/>
    </row>
    <row r="32">
      <c r="A32" s="25"/>
      <c r="B32" s="26"/>
      <c r="C32" s="5"/>
      <c r="D32" s="25"/>
      <c r="E32" s="26"/>
      <c r="F32" s="5"/>
      <c r="G32" s="25"/>
      <c r="H32" s="26"/>
      <c r="I32" s="5"/>
      <c r="J32" s="25"/>
      <c r="K32" s="26"/>
      <c r="L32" s="5"/>
      <c r="M32" s="27"/>
      <c r="N32" s="28"/>
      <c r="O32" s="5"/>
      <c r="P32" s="27"/>
      <c r="Q32" s="28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6"/>
      <c r="N33" s="7"/>
      <c r="O33" s="5"/>
      <c r="P33" s="6"/>
      <c r="Q33" s="7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6"/>
      <c r="N34" s="7"/>
      <c r="O34" s="5"/>
      <c r="P34" s="6"/>
      <c r="Q34" s="7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6"/>
      <c r="G35" s="5"/>
      <c r="H35" s="5"/>
      <c r="I35" s="5"/>
      <c r="J35" s="5"/>
      <c r="K35" s="5"/>
      <c r="L35" s="5"/>
      <c r="M35" s="6"/>
      <c r="N35" s="7"/>
      <c r="O35" s="5"/>
      <c r="P35" s="6"/>
      <c r="Q35" s="7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6"/>
      <c r="G36" s="5"/>
      <c r="H36" s="5"/>
      <c r="I36" s="5"/>
      <c r="J36" s="5"/>
      <c r="K36" s="5"/>
      <c r="L36" s="5"/>
      <c r="M36" s="6"/>
      <c r="N36" s="7"/>
      <c r="O36" s="5"/>
      <c r="P36" s="6"/>
      <c r="Q36" s="7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6"/>
      <c r="G37" s="5"/>
      <c r="H37" s="5"/>
      <c r="I37" s="5"/>
      <c r="J37" s="5"/>
      <c r="K37" s="5"/>
      <c r="L37" s="5"/>
      <c r="M37" s="6"/>
      <c r="N37" s="7"/>
      <c r="O37" s="5"/>
      <c r="P37" s="6"/>
      <c r="Q37" s="7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6"/>
      <c r="G38" s="5"/>
      <c r="H38" s="5"/>
      <c r="I38" s="5"/>
      <c r="J38" s="5"/>
      <c r="K38" s="5"/>
      <c r="L38" s="5"/>
      <c r="M38" s="6"/>
      <c r="N38" s="7"/>
      <c r="O38" s="5"/>
      <c r="P38" s="6"/>
      <c r="Q38" s="7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6"/>
      <c r="G39" s="5"/>
      <c r="H39" s="5"/>
      <c r="I39" s="5"/>
      <c r="J39" s="5"/>
      <c r="K39" s="5"/>
      <c r="L39" s="5"/>
      <c r="M39" s="6"/>
      <c r="N39" s="7"/>
      <c r="O39" s="5"/>
      <c r="P39" s="6"/>
      <c r="Q39" s="7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6"/>
      <c r="G40" s="5"/>
      <c r="H40" s="5"/>
      <c r="I40" s="5"/>
      <c r="J40" s="5"/>
      <c r="K40" s="5"/>
      <c r="L40" s="5"/>
      <c r="M40" s="6"/>
      <c r="N40" s="7"/>
      <c r="O40" s="5"/>
      <c r="P40" s="6"/>
      <c r="Q40" s="7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6"/>
      <c r="G41" s="5"/>
      <c r="H41" s="5"/>
      <c r="I41" s="5"/>
      <c r="J41" s="5"/>
      <c r="K41" s="5"/>
      <c r="L41" s="5"/>
      <c r="M41" s="6"/>
      <c r="N41" s="7"/>
      <c r="O41" s="5"/>
      <c r="P41" s="6"/>
      <c r="Q41" s="7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6"/>
      <c r="G42" s="5"/>
      <c r="H42" s="5"/>
      <c r="I42" s="5"/>
      <c r="J42" s="5"/>
      <c r="K42" s="5"/>
      <c r="L42" s="5"/>
      <c r="M42" s="6"/>
      <c r="N42" s="7"/>
      <c r="O42" s="5"/>
      <c r="P42" s="6"/>
      <c r="Q42" s="7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6"/>
      <c r="G43" s="5"/>
      <c r="H43" s="5"/>
      <c r="I43" s="5"/>
      <c r="J43" s="5"/>
      <c r="K43" s="5"/>
      <c r="L43" s="5"/>
      <c r="M43" s="6"/>
      <c r="N43" s="7"/>
      <c r="O43" s="5"/>
      <c r="P43" s="6"/>
      <c r="Q43" s="7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6"/>
      <c r="G44" s="5"/>
      <c r="H44" s="5"/>
      <c r="I44" s="5"/>
      <c r="J44" s="5"/>
      <c r="K44" s="5"/>
      <c r="L44" s="5"/>
      <c r="M44" s="6"/>
      <c r="N44" s="7"/>
      <c r="O44" s="5"/>
      <c r="P44" s="6"/>
      <c r="Q44" s="7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6"/>
      <c r="G45" s="5"/>
      <c r="H45" s="5"/>
      <c r="I45" s="5"/>
      <c r="J45" s="5"/>
      <c r="K45" s="5"/>
      <c r="L45" s="5"/>
      <c r="M45" s="6"/>
      <c r="N45" s="7"/>
      <c r="O45" s="5"/>
      <c r="P45" s="6"/>
      <c r="Q45" s="7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6"/>
      <c r="G46" s="5"/>
      <c r="H46" s="5"/>
      <c r="I46" s="5"/>
      <c r="J46" s="5"/>
      <c r="K46" s="5"/>
      <c r="L46" s="5"/>
      <c r="M46" s="6"/>
      <c r="N46" s="7"/>
      <c r="O46" s="5"/>
      <c r="P46" s="6"/>
      <c r="Q46" s="7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6"/>
      <c r="G47" s="5"/>
      <c r="H47" s="5"/>
      <c r="I47" s="5"/>
      <c r="J47" s="5"/>
      <c r="K47" s="5"/>
      <c r="L47" s="5"/>
      <c r="M47" s="6"/>
      <c r="N47" s="7"/>
      <c r="O47" s="5"/>
      <c r="P47" s="6"/>
      <c r="Q47" s="7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6"/>
      <c r="N48" s="7"/>
      <c r="O48" s="5"/>
      <c r="P48" s="6"/>
      <c r="Q48" s="7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6"/>
      <c r="N49" s="7"/>
      <c r="O49" s="5"/>
      <c r="P49" s="6"/>
      <c r="Q49" s="7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6"/>
      <c r="N50" s="7"/>
      <c r="O50" s="5"/>
      <c r="P50" s="6"/>
      <c r="Q50" s="7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6"/>
      <c r="N51" s="7"/>
      <c r="O51" s="5"/>
      <c r="P51" s="6"/>
      <c r="Q51" s="7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6"/>
      <c r="N52" s="7"/>
      <c r="O52" s="5"/>
      <c r="P52" s="6"/>
      <c r="Q52" s="7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6"/>
      <c r="N53" s="7"/>
      <c r="O53" s="5"/>
      <c r="P53" s="6"/>
      <c r="Q53" s="7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6"/>
      <c r="N54" s="7"/>
      <c r="O54" s="5"/>
      <c r="P54" s="6"/>
      <c r="Q54" s="7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6"/>
      <c r="N55" s="7"/>
      <c r="O55" s="5"/>
      <c r="P55" s="6"/>
      <c r="Q55" s="7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6"/>
      <c r="N56" s="7"/>
      <c r="O56" s="5"/>
      <c r="P56" s="6"/>
      <c r="Q56" s="7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6"/>
      <c r="N57" s="7"/>
      <c r="O57" s="5"/>
      <c r="P57" s="6"/>
      <c r="Q57" s="7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6"/>
      <c r="N58" s="7"/>
      <c r="O58" s="5"/>
      <c r="P58" s="6"/>
      <c r="Q58" s="7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6"/>
      <c r="N59" s="7"/>
      <c r="O59" s="5"/>
      <c r="P59" s="6"/>
      <c r="Q59" s="7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6"/>
      <c r="N60" s="7"/>
      <c r="O60" s="5"/>
      <c r="P60" s="6"/>
      <c r="Q60" s="7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6"/>
      <c r="N61" s="7"/>
      <c r="O61" s="5"/>
      <c r="P61" s="6"/>
      <c r="Q61" s="7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6"/>
      <c r="N62" s="7"/>
      <c r="O62" s="5"/>
      <c r="P62" s="6"/>
      <c r="Q62" s="7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6"/>
      <c r="N63" s="7"/>
      <c r="O63" s="5"/>
      <c r="P63" s="6"/>
      <c r="Q63" s="7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6"/>
      <c r="N64" s="7"/>
      <c r="O64" s="5"/>
      <c r="P64" s="6"/>
      <c r="Q64" s="7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6"/>
      <c r="N65" s="7"/>
      <c r="O65" s="5"/>
      <c r="P65" s="6"/>
      <c r="Q65" s="7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6"/>
      <c r="N66" s="7"/>
      <c r="O66" s="5"/>
      <c r="P66" s="6"/>
      <c r="Q66" s="7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6"/>
      <c r="N67" s="7"/>
      <c r="O67" s="5"/>
      <c r="P67" s="6"/>
      <c r="Q67" s="7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6"/>
      <c r="N68" s="7"/>
      <c r="O68" s="5"/>
      <c r="P68" s="6"/>
      <c r="Q68" s="7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6"/>
      <c r="N69" s="7"/>
      <c r="O69" s="5"/>
      <c r="P69" s="6"/>
      <c r="Q69" s="7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6"/>
      <c r="N70" s="7"/>
      <c r="O70" s="5"/>
      <c r="P70" s="6"/>
      <c r="Q70" s="7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6"/>
      <c r="N71" s="7"/>
      <c r="O71" s="5"/>
      <c r="P71" s="6"/>
      <c r="Q71" s="7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6"/>
      <c r="N72" s="7"/>
      <c r="O72" s="5"/>
      <c r="P72" s="6"/>
      <c r="Q72" s="7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6"/>
      <c r="N73" s="7"/>
      <c r="O73" s="5"/>
      <c r="P73" s="6"/>
      <c r="Q73" s="7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6"/>
      <c r="N74" s="7"/>
      <c r="O74" s="5"/>
      <c r="P74" s="6"/>
      <c r="Q74" s="7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6"/>
      <c r="N75" s="7"/>
      <c r="O75" s="5"/>
      <c r="P75" s="6"/>
      <c r="Q75" s="7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6"/>
      <c r="N76" s="7"/>
      <c r="O76" s="5"/>
      <c r="P76" s="6"/>
      <c r="Q76" s="7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6"/>
      <c r="N77" s="7"/>
      <c r="O77" s="5"/>
      <c r="P77" s="6"/>
      <c r="Q77" s="7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6"/>
      <c r="N78" s="7"/>
      <c r="O78" s="5"/>
      <c r="P78" s="6"/>
      <c r="Q78" s="7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6"/>
      <c r="N79" s="7"/>
      <c r="O79" s="5"/>
      <c r="P79" s="6"/>
      <c r="Q79" s="7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6"/>
      <c r="N80" s="7"/>
      <c r="O80" s="5"/>
      <c r="P80" s="6"/>
      <c r="Q80" s="7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6"/>
      <c r="N81" s="7"/>
      <c r="O81" s="5"/>
      <c r="P81" s="6"/>
      <c r="Q81" s="7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6"/>
      <c r="N82" s="7"/>
      <c r="O82" s="5"/>
      <c r="P82" s="6"/>
      <c r="Q82" s="7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6"/>
      <c r="N83" s="7"/>
      <c r="O83" s="5"/>
      <c r="P83" s="6"/>
      <c r="Q83" s="7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6"/>
      <c r="N84" s="7"/>
      <c r="O84" s="5"/>
      <c r="P84" s="6"/>
      <c r="Q84" s="7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6"/>
      <c r="N85" s="7"/>
      <c r="O85" s="5"/>
      <c r="P85" s="6"/>
      <c r="Q85" s="7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6"/>
      <c r="N86" s="7"/>
      <c r="O86" s="5"/>
      <c r="P86" s="6"/>
      <c r="Q86" s="7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6"/>
      <c r="N87" s="7"/>
      <c r="O87" s="5"/>
      <c r="P87" s="6"/>
      <c r="Q87" s="7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6"/>
      <c r="N88" s="7"/>
      <c r="O88" s="5"/>
      <c r="P88" s="6"/>
      <c r="Q88" s="7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6"/>
      <c r="N89" s="7"/>
      <c r="O89" s="5"/>
      <c r="P89" s="6"/>
      <c r="Q89" s="7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6"/>
      <c r="N90" s="7"/>
      <c r="O90" s="5"/>
      <c r="P90" s="6"/>
      <c r="Q90" s="7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6"/>
      <c r="N91" s="7"/>
      <c r="O91" s="5"/>
      <c r="P91" s="6"/>
      <c r="Q91" s="7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6"/>
      <c r="N92" s="7"/>
      <c r="O92" s="5"/>
      <c r="P92" s="6"/>
      <c r="Q92" s="7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6"/>
      <c r="N93" s="7"/>
      <c r="O93" s="5"/>
      <c r="P93" s="6"/>
      <c r="Q93" s="7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6"/>
      <c r="N94" s="7"/>
      <c r="O94" s="5"/>
      <c r="P94" s="6"/>
      <c r="Q94" s="7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6"/>
      <c r="N95" s="7"/>
      <c r="O95" s="5"/>
      <c r="P95" s="6"/>
      <c r="Q95" s="7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6"/>
      <c r="N96" s="7"/>
      <c r="O96" s="5"/>
      <c r="P96" s="6"/>
      <c r="Q96" s="7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6"/>
      <c r="N97" s="7"/>
      <c r="O97" s="5"/>
      <c r="P97" s="6"/>
      <c r="Q97" s="7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6"/>
      <c r="N98" s="7"/>
      <c r="O98" s="5"/>
      <c r="P98" s="6"/>
      <c r="Q98" s="7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6"/>
      <c r="N99" s="7"/>
      <c r="O99" s="5"/>
      <c r="P99" s="6"/>
      <c r="Q99" s="7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6"/>
      <c r="N100" s="7"/>
      <c r="O100" s="5"/>
      <c r="P100" s="6"/>
      <c r="Q100" s="7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6"/>
      <c r="N101" s="7"/>
      <c r="O101" s="5"/>
      <c r="P101" s="6"/>
      <c r="Q101" s="7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6"/>
      <c r="N102" s="7"/>
      <c r="O102" s="5"/>
      <c r="P102" s="6"/>
      <c r="Q102" s="7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6"/>
      <c r="N103" s="7"/>
      <c r="O103" s="5"/>
      <c r="P103" s="6"/>
      <c r="Q103" s="7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6"/>
      <c r="N104" s="7"/>
      <c r="O104" s="5"/>
      <c r="P104" s="6"/>
      <c r="Q104" s="7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6"/>
      <c r="N105" s="7"/>
      <c r="O105" s="5"/>
      <c r="P105" s="6"/>
      <c r="Q105" s="7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6"/>
      <c r="N106" s="7"/>
      <c r="O106" s="5"/>
      <c r="P106" s="6"/>
      <c r="Q106" s="7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6"/>
      <c r="N107" s="7"/>
      <c r="O107" s="5"/>
      <c r="P107" s="6"/>
      <c r="Q107" s="7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6"/>
      <c r="N108" s="7"/>
      <c r="O108" s="5"/>
      <c r="P108" s="6"/>
      <c r="Q108" s="7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6"/>
      <c r="N109" s="7"/>
      <c r="O109" s="5"/>
      <c r="P109" s="6"/>
      <c r="Q109" s="7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6"/>
      <c r="N110" s="7"/>
      <c r="O110" s="5"/>
      <c r="P110" s="6"/>
      <c r="Q110" s="7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6"/>
      <c r="N111" s="7"/>
      <c r="O111" s="5"/>
      <c r="P111" s="6"/>
      <c r="Q111" s="7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6"/>
      <c r="N112" s="7"/>
      <c r="O112" s="5"/>
      <c r="P112" s="6"/>
      <c r="Q112" s="7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6"/>
      <c r="N113" s="7"/>
      <c r="O113" s="5"/>
      <c r="P113" s="6"/>
      <c r="Q113" s="7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6"/>
      <c r="N114" s="7"/>
      <c r="O114" s="5"/>
      <c r="P114" s="6"/>
      <c r="Q114" s="7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6"/>
      <c r="N115" s="7"/>
      <c r="O115" s="5"/>
      <c r="P115" s="6"/>
      <c r="Q115" s="7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6"/>
      <c r="N116" s="7"/>
      <c r="O116" s="5"/>
      <c r="P116" s="6"/>
      <c r="Q116" s="7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6"/>
      <c r="N117" s="7"/>
      <c r="O117" s="5"/>
      <c r="P117" s="6"/>
      <c r="Q117" s="7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6"/>
      <c r="N118" s="7"/>
      <c r="O118" s="5"/>
      <c r="P118" s="6"/>
      <c r="Q118" s="7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6"/>
      <c r="N119" s="7"/>
      <c r="O119" s="5"/>
      <c r="P119" s="6"/>
      <c r="Q119" s="7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6"/>
      <c r="N120" s="7"/>
      <c r="O120" s="5"/>
      <c r="P120" s="6"/>
      <c r="Q120" s="7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6"/>
      <c r="N121" s="7"/>
      <c r="O121" s="5"/>
      <c r="P121" s="6"/>
      <c r="Q121" s="7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6"/>
      <c r="N122" s="7"/>
      <c r="O122" s="5"/>
      <c r="P122" s="6"/>
      <c r="Q122" s="7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6"/>
      <c r="N123" s="7"/>
      <c r="O123" s="5"/>
      <c r="P123" s="6"/>
      <c r="Q123" s="7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6"/>
      <c r="N124" s="7"/>
      <c r="O124" s="5"/>
      <c r="P124" s="6"/>
      <c r="Q124" s="7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6"/>
      <c r="N125" s="7"/>
      <c r="O125" s="5"/>
      <c r="P125" s="6"/>
      <c r="Q125" s="7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6"/>
      <c r="N126" s="7"/>
      <c r="O126" s="5"/>
      <c r="P126" s="6"/>
      <c r="Q126" s="7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6"/>
      <c r="N127" s="7"/>
      <c r="O127" s="5"/>
      <c r="P127" s="6"/>
      <c r="Q127" s="7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6"/>
      <c r="N128" s="7"/>
      <c r="O128" s="5"/>
      <c r="P128" s="6"/>
      <c r="Q128" s="7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6"/>
      <c r="N129" s="7"/>
      <c r="O129" s="5"/>
      <c r="P129" s="6"/>
      <c r="Q129" s="7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6"/>
      <c r="N130" s="7"/>
      <c r="O130" s="5"/>
      <c r="P130" s="6"/>
      <c r="Q130" s="7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6"/>
      <c r="N131" s="7"/>
      <c r="O131" s="5"/>
      <c r="P131" s="6"/>
      <c r="Q131" s="7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6"/>
      <c r="N132" s="7"/>
      <c r="O132" s="5"/>
      <c r="P132" s="6"/>
      <c r="Q132" s="7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6"/>
      <c r="N133" s="7"/>
      <c r="O133" s="5"/>
      <c r="P133" s="6"/>
      <c r="Q133" s="7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6"/>
      <c r="N134" s="7"/>
      <c r="O134" s="5"/>
      <c r="P134" s="6"/>
      <c r="Q134" s="7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6"/>
      <c r="N135" s="7"/>
      <c r="O135" s="5"/>
      <c r="P135" s="6"/>
      <c r="Q135" s="7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6"/>
      <c r="N136" s="7"/>
      <c r="O136" s="5"/>
      <c r="P136" s="6"/>
      <c r="Q136" s="7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6"/>
      <c r="N137" s="7"/>
      <c r="O137" s="5"/>
      <c r="P137" s="6"/>
      <c r="Q137" s="7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6"/>
      <c r="N138" s="7"/>
      <c r="O138" s="5"/>
      <c r="P138" s="6"/>
      <c r="Q138" s="7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6"/>
      <c r="N139" s="7"/>
      <c r="O139" s="5"/>
      <c r="P139" s="6"/>
      <c r="Q139" s="7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6"/>
      <c r="N140" s="7"/>
      <c r="O140" s="5"/>
      <c r="P140" s="6"/>
      <c r="Q140" s="7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6"/>
      <c r="N141" s="7"/>
      <c r="O141" s="5"/>
      <c r="P141" s="6"/>
      <c r="Q141" s="7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6"/>
      <c r="N142" s="7"/>
      <c r="O142" s="5"/>
      <c r="P142" s="6"/>
      <c r="Q142" s="7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6"/>
      <c r="N143" s="7"/>
      <c r="O143" s="5"/>
      <c r="P143" s="6"/>
      <c r="Q143" s="7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6"/>
      <c r="N144" s="7"/>
      <c r="O144" s="5"/>
      <c r="P144" s="6"/>
      <c r="Q144" s="7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6"/>
      <c r="N145" s="7"/>
      <c r="O145" s="5"/>
      <c r="P145" s="6"/>
      <c r="Q145" s="7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6"/>
      <c r="N146" s="7"/>
      <c r="O146" s="5"/>
      <c r="P146" s="6"/>
      <c r="Q146" s="7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6"/>
      <c r="N147" s="7"/>
      <c r="O147" s="5"/>
      <c r="P147" s="6"/>
      <c r="Q147" s="7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6"/>
      <c r="N148" s="7"/>
      <c r="O148" s="5"/>
      <c r="P148" s="6"/>
      <c r="Q148" s="7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6"/>
      <c r="N149" s="7"/>
      <c r="O149" s="5"/>
      <c r="P149" s="6"/>
      <c r="Q149" s="7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6"/>
      <c r="N150" s="7"/>
      <c r="O150" s="5"/>
      <c r="P150" s="6"/>
      <c r="Q150" s="7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6"/>
      <c r="N151" s="7"/>
      <c r="O151" s="5"/>
      <c r="P151" s="6"/>
      <c r="Q151" s="7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6"/>
      <c r="N152" s="7"/>
      <c r="O152" s="5"/>
      <c r="P152" s="6"/>
      <c r="Q152" s="7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6"/>
      <c r="N153" s="7"/>
      <c r="O153" s="5"/>
      <c r="P153" s="6"/>
      <c r="Q153" s="7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6"/>
      <c r="N154" s="7"/>
      <c r="O154" s="5"/>
      <c r="P154" s="6"/>
      <c r="Q154" s="7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6"/>
      <c r="N155" s="7"/>
      <c r="O155" s="5"/>
      <c r="P155" s="6"/>
      <c r="Q155" s="7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6"/>
      <c r="N156" s="7"/>
      <c r="O156" s="5"/>
      <c r="P156" s="6"/>
      <c r="Q156" s="7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6"/>
      <c r="N157" s="7"/>
      <c r="O157" s="5"/>
      <c r="P157" s="6"/>
      <c r="Q157" s="7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6"/>
      <c r="N158" s="7"/>
      <c r="O158" s="5"/>
      <c r="P158" s="6"/>
      <c r="Q158" s="7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6"/>
      <c r="N159" s="7"/>
      <c r="O159" s="5"/>
      <c r="P159" s="6"/>
      <c r="Q159" s="7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6"/>
      <c r="N160" s="7"/>
      <c r="O160" s="5"/>
      <c r="P160" s="6"/>
      <c r="Q160" s="7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6"/>
      <c r="N161" s="7"/>
      <c r="O161" s="5"/>
      <c r="P161" s="6"/>
      <c r="Q161" s="7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6"/>
      <c r="N162" s="7"/>
      <c r="O162" s="5"/>
      <c r="P162" s="6"/>
      <c r="Q162" s="7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6"/>
      <c r="N163" s="7"/>
      <c r="O163" s="5"/>
      <c r="P163" s="6"/>
      <c r="Q163" s="7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6"/>
      <c r="N164" s="7"/>
      <c r="O164" s="5"/>
      <c r="P164" s="6"/>
      <c r="Q164" s="7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6"/>
      <c r="N165" s="7"/>
      <c r="O165" s="5"/>
      <c r="P165" s="6"/>
      <c r="Q165" s="7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6"/>
      <c r="N166" s="7"/>
      <c r="O166" s="5"/>
      <c r="P166" s="6"/>
      <c r="Q166" s="7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6"/>
      <c r="N167" s="7"/>
      <c r="O167" s="5"/>
      <c r="P167" s="6"/>
      <c r="Q167" s="7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6"/>
      <c r="N168" s="7"/>
      <c r="O168" s="5"/>
      <c r="P168" s="6"/>
      <c r="Q168" s="7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6"/>
      <c r="N169" s="7"/>
      <c r="O169" s="5"/>
      <c r="P169" s="6"/>
      <c r="Q169" s="7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6"/>
      <c r="N170" s="7"/>
      <c r="O170" s="5"/>
      <c r="P170" s="6"/>
      <c r="Q170" s="7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6"/>
      <c r="N171" s="7"/>
      <c r="O171" s="5"/>
      <c r="P171" s="6"/>
      <c r="Q171" s="7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6"/>
      <c r="N172" s="7"/>
      <c r="O172" s="5"/>
      <c r="P172" s="6"/>
      <c r="Q172" s="7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6"/>
      <c r="N173" s="7"/>
      <c r="O173" s="5"/>
      <c r="P173" s="6"/>
      <c r="Q173" s="7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6"/>
      <c r="N174" s="7"/>
      <c r="O174" s="5"/>
      <c r="P174" s="6"/>
      <c r="Q174" s="7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6"/>
      <c r="N175" s="7"/>
      <c r="O175" s="5"/>
      <c r="P175" s="6"/>
      <c r="Q175" s="7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6"/>
      <c r="N176" s="7"/>
      <c r="O176" s="5"/>
      <c r="P176" s="6"/>
      <c r="Q176" s="7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6"/>
      <c r="N177" s="7"/>
      <c r="O177" s="5"/>
      <c r="P177" s="6"/>
      <c r="Q177" s="7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6"/>
      <c r="N178" s="7"/>
      <c r="O178" s="5"/>
      <c r="P178" s="6"/>
      <c r="Q178" s="7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6"/>
      <c r="N179" s="7"/>
      <c r="O179" s="5"/>
      <c r="P179" s="6"/>
      <c r="Q179" s="7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6"/>
      <c r="N180" s="7"/>
      <c r="O180" s="5"/>
      <c r="P180" s="6"/>
      <c r="Q180" s="7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6"/>
      <c r="N181" s="7"/>
      <c r="O181" s="5"/>
      <c r="P181" s="6"/>
      <c r="Q181" s="7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6"/>
      <c r="N182" s="7"/>
      <c r="O182" s="5"/>
      <c r="P182" s="6"/>
      <c r="Q182" s="7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6"/>
      <c r="N183" s="7"/>
      <c r="O183" s="5"/>
      <c r="P183" s="6"/>
      <c r="Q183" s="7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6"/>
      <c r="N184" s="7"/>
      <c r="O184" s="5"/>
      <c r="P184" s="6"/>
      <c r="Q184" s="7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6"/>
      <c r="N185" s="7"/>
      <c r="O185" s="5"/>
      <c r="P185" s="6"/>
      <c r="Q185" s="7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6"/>
      <c r="N186" s="7"/>
      <c r="O186" s="5"/>
      <c r="P186" s="6"/>
      <c r="Q186" s="7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6"/>
      <c r="N187" s="7"/>
      <c r="O187" s="5"/>
      <c r="P187" s="6"/>
      <c r="Q187" s="7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6"/>
      <c r="N188" s="7"/>
      <c r="O188" s="5"/>
      <c r="P188" s="6"/>
      <c r="Q188" s="7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6"/>
      <c r="N189" s="7"/>
      <c r="O189" s="5"/>
      <c r="P189" s="6"/>
      <c r="Q189" s="7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6"/>
      <c r="N190" s="7"/>
      <c r="O190" s="5"/>
      <c r="P190" s="6"/>
      <c r="Q190" s="7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6"/>
      <c r="N191" s="7"/>
      <c r="O191" s="5"/>
      <c r="P191" s="6"/>
      <c r="Q191" s="7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6"/>
      <c r="N192" s="7"/>
      <c r="O192" s="5"/>
      <c r="P192" s="6"/>
      <c r="Q192" s="7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6"/>
      <c r="N193" s="7"/>
      <c r="O193" s="5"/>
      <c r="P193" s="6"/>
      <c r="Q193" s="7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6"/>
      <c r="N194" s="7"/>
      <c r="O194" s="5"/>
      <c r="P194" s="6"/>
      <c r="Q194" s="7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6"/>
      <c r="N195" s="7"/>
      <c r="O195" s="5"/>
      <c r="P195" s="6"/>
      <c r="Q195" s="7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6"/>
      <c r="N196" s="7"/>
      <c r="O196" s="5"/>
      <c r="P196" s="6"/>
      <c r="Q196" s="7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6"/>
      <c r="N197" s="7"/>
      <c r="O197" s="5"/>
      <c r="P197" s="6"/>
      <c r="Q197" s="7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6"/>
      <c r="N198" s="7"/>
      <c r="O198" s="5"/>
      <c r="P198" s="6"/>
      <c r="Q198" s="7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6"/>
      <c r="N199" s="7"/>
      <c r="O199" s="5"/>
      <c r="P199" s="6"/>
      <c r="Q199" s="7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6"/>
      <c r="N200" s="7"/>
      <c r="O200" s="5"/>
      <c r="P200" s="6"/>
      <c r="Q200" s="7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6"/>
      <c r="N201" s="7"/>
      <c r="O201" s="5"/>
      <c r="P201" s="6"/>
      <c r="Q201" s="7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6"/>
      <c r="N202" s="7"/>
      <c r="O202" s="5"/>
      <c r="P202" s="6"/>
      <c r="Q202" s="7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6"/>
      <c r="N203" s="7"/>
      <c r="O203" s="5"/>
      <c r="P203" s="6"/>
      <c r="Q203" s="7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6"/>
      <c r="N204" s="7"/>
      <c r="O204" s="5"/>
      <c r="P204" s="6"/>
      <c r="Q204" s="7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6"/>
      <c r="N205" s="7"/>
      <c r="O205" s="5"/>
      <c r="P205" s="6"/>
      <c r="Q205" s="7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6"/>
      <c r="N206" s="7"/>
      <c r="O206" s="5"/>
      <c r="P206" s="6"/>
      <c r="Q206" s="7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6"/>
      <c r="N207" s="7"/>
      <c r="O207" s="5"/>
      <c r="P207" s="6"/>
      <c r="Q207" s="7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6"/>
      <c r="N208" s="7"/>
      <c r="O208" s="5"/>
      <c r="P208" s="6"/>
      <c r="Q208" s="7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6"/>
      <c r="N209" s="7"/>
      <c r="O209" s="5"/>
      <c r="P209" s="6"/>
      <c r="Q209" s="7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6"/>
      <c r="N210" s="7"/>
      <c r="O210" s="5"/>
      <c r="P210" s="6"/>
      <c r="Q210" s="7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6"/>
      <c r="N211" s="7"/>
      <c r="O211" s="5"/>
      <c r="P211" s="6"/>
      <c r="Q211" s="7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6"/>
      <c r="N212" s="7"/>
      <c r="O212" s="5"/>
      <c r="P212" s="6"/>
      <c r="Q212" s="7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6"/>
      <c r="N213" s="7"/>
      <c r="O213" s="5"/>
      <c r="P213" s="6"/>
      <c r="Q213" s="7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6"/>
      <c r="N214" s="7"/>
      <c r="O214" s="5"/>
      <c r="P214" s="6"/>
      <c r="Q214" s="7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6"/>
      <c r="N215" s="7"/>
      <c r="O215" s="5"/>
      <c r="P215" s="6"/>
      <c r="Q215" s="7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6"/>
      <c r="N216" s="7"/>
      <c r="O216" s="5"/>
      <c r="P216" s="6"/>
      <c r="Q216" s="7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6"/>
      <c r="N217" s="7"/>
      <c r="O217" s="5"/>
      <c r="P217" s="6"/>
      <c r="Q217" s="7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6"/>
      <c r="N218" s="7"/>
      <c r="O218" s="5"/>
      <c r="P218" s="6"/>
      <c r="Q218" s="7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6"/>
      <c r="N219" s="7"/>
      <c r="O219" s="5"/>
      <c r="P219" s="6"/>
      <c r="Q219" s="7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6"/>
      <c r="N220" s="7"/>
      <c r="O220" s="5"/>
      <c r="P220" s="6"/>
      <c r="Q220" s="7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6"/>
      <c r="N221" s="7"/>
      <c r="O221" s="5"/>
      <c r="P221" s="6"/>
      <c r="Q221" s="7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6"/>
      <c r="N222" s="7"/>
      <c r="O222" s="5"/>
      <c r="P222" s="6"/>
      <c r="Q222" s="7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6"/>
      <c r="N223" s="7"/>
      <c r="O223" s="5"/>
      <c r="P223" s="6"/>
      <c r="Q223" s="7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6"/>
      <c r="N224" s="7"/>
      <c r="O224" s="5"/>
      <c r="P224" s="6"/>
      <c r="Q224" s="7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6"/>
      <c r="N225" s="7"/>
      <c r="O225" s="5"/>
      <c r="P225" s="6"/>
      <c r="Q225" s="7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6"/>
      <c r="N226" s="7"/>
      <c r="O226" s="5"/>
      <c r="P226" s="6"/>
      <c r="Q226" s="7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6"/>
      <c r="N227" s="7"/>
      <c r="O227" s="5"/>
      <c r="P227" s="6"/>
      <c r="Q227" s="7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6"/>
      <c r="N228" s="7"/>
      <c r="O228" s="5"/>
      <c r="P228" s="6"/>
      <c r="Q228" s="7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6"/>
      <c r="N229" s="7"/>
      <c r="O229" s="5"/>
      <c r="P229" s="6"/>
      <c r="Q229" s="7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6"/>
      <c r="N230" s="7"/>
      <c r="O230" s="5"/>
      <c r="P230" s="6"/>
      <c r="Q230" s="7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6"/>
      <c r="N231" s="7"/>
      <c r="O231" s="5"/>
      <c r="P231" s="6"/>
      <c r="Q231" s="7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6"/>
      <c r="N232" s="7"/>
      <c r="O232" s="5"/>
      <c r="P232" s="6"/>
      <c r="Q232" s="7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6"/>
      <c r="N233" s="7"/>
      <c r="O233" s="5"/>
      <c r="P233" s="6"/>
      <c r="Q233" s="7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6"/>
      <c r="N234" s="7"/>
      <c r="O234" s="5"/>
      <c r="P234" s="6"/>
      <c r="Q234" s="7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6"/>
      <c r="N235" s="7"/>
      <c r="O235" s="5"/>
      <c r="P235" s="6"/>
      <c r="Q235" s="7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6"/>
      <c r="N236" s="7"/>
      <c r="O236" s="5"/>
      <c r="P236" s="6"/>
      <c r="Q236" s="7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6"/>
      <c r="N237" s="7"/>
      <c r="O237" s="5"/>
      <c r="P237" s="6"/>
      <c r="Q237" s="7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6"/>
      <c r="N238" s="7"/>
      <c r="O238" s="5"/>
      <c r="P238" s="6"/>
      <c r="Q238" s="7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6"/>
      <c r="N239" s="7"/>
      <c r="O239" s="5"/>
      <c r="P239" s="6"/>
      <c r="Q239" s="7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6"/>
      <c r="N240" s="7"/>
      <c r="O240" s="5"/>
      <c r="P240" s="6"/>
      <c r="Q240" s="7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6"/>
      <c r="N241" s="7"/>
      <c r="O241" s="5"/>
      <c r="P241" s="6"/>
      <c r="Q241" s="7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6"/>
      <c r="N242" s="7"/>
      <c r="O242" s="5"/>
      <c r="P242" s="6"/>
      <c r="Q242" s="7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6"/>
      <c r="N243" s="7"/>
      <c r="O243" s="5"/>
      <c r="P243" s="6"/>
      <c r="Q243" s="7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6"/>
      <c r="N244" s="7"/>
      <c r="O244" s="5"/>
      <c r="P244" s="6"/>
      <c r="Q244" s="7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6"/>
      <c r="N245" s="7"/>
      <c r="O245" s="5"/>
      <c r="P245" s="6"/>
      <c r="Q245" s="7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6"/>
      <c r="N246" s="7"/>
      <c r="O246" s="5"/>
      <c r="P246" s="6"/>
      <c r="Q246" s="7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6"/>
      <c r="N247" s="7"/>
      <c r="O247" s="5"/>
      <c r="P247" s="6"/>
      <c r="Q247" s="7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6"/>
      <c r="N248" s="7"/>
      <c r="O248" s="5"/>
      <c r="P248" s="6"/>
      <c r="Q248" s="7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6"/>
      <c r="N249" s="7"/>
      <c r="O249" s="5"/>
      <c r="P249" s="6"/>
      <c r="Q249" s="7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6"/>
      <c r="N250" s="7"/>
      <c r="O250" s="5"/>
      <c r="P250" s="6"/>
      <c r="Q250" s="7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6"/>
      <c r="N251" s="7"/>
      <c r="O251" s="5"/>
      <c r="P251" s="6"/>
      <c r="Q251" s="7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6"/>
      <c r="N252" s="7"/>
      <c r="O252" s="5"/>
      <c r="P252" s="6"/>
      <c r="Q252" s="7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6"/>
      <c r="N253" s="7"/>
      <c r="O253" s="5"/>
      <c r="P253" s="6"/>
      <c r="Q253" s="7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6"/>
      <c r="N254" s="7"/>
      <c r="O254" s="5"/>
      <c r="P254" s="6"/>
      <c r="Q254" s="7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6"/>
      <c r="N255" s="7"/>
      <c r="O255" s="5"/>
      <c r="P255" s="6"/>
      <c r="Q255" s="7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6"/>
      <c r="N256" s="7"/>
      <c r="O256" s="5"/>
      <c r="P256" s="6"/>
      <c r="Q256" s="7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6"/>
      <c r="N257" s="7"/>
      <c r="O257" s="5"/>
      <c r="P257" s="6"/>
      <c r="Q257" s="7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6"/>
      <c r="N258" s="7"/>
      <c r="O258" s="5"/>
      <c r="P258" s="6"/>
      <c r="Q258" s="7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6"/>
      <c r="N259" s="7"/>
      <c r="O259" s="5"/>
      <c r="P259" s="6"/>
      <c r="Q259" s="7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6"/>
      <c r="N260" s="7"/>
      <c r="O260" s="5"/>
      <c r="P260" s="6"/>
      <c r="Q260" s="7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6"/>
      <c r="N261" s="7"/>
      <c r="O261" s="5"/>
      <c r="P261" s="6"/>
      <c r="Q261" s="7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6"/>
      <c r="N262" s="7"/>
      <c r="O262" s="5"/>
      <c r="P262" s="6"/>
      <c r="Q262" s="7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6"/>
      <c r="N263" s="7"/>
      <c r="O263" s="5"/>
      <c r="P263" s="6"/>
      <c r="Q263" s="7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6"/>
      <c r="N264" s="7"/>
      <c r="O264" s="5"/>
      <c r="P264" s="6"/>
      <c r="Q264" s="7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6"/>
      <c r="N265" s="7"/>
      <c r="O265" s="5"/>
      <c r="P265" s="6"/>
      <c r="Q265" s="7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6"/>
      <c r="N266" s="7"/>
      <c r="O266" s="5"/>
      <c r="P266" s="6"/>
      <c r="Q266" s="7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6"/>
      <c r="N267" s="7"/>
      <c r="O267" s="5"/>
      <c r="P267" s="6"/>
      <c r="Q267" s="7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6"/>
      <c r="N268" s="7"/>
      <c r="O268" s="5"/>
      <c r="P268" s="6"/>
      <c r="Q268" s="7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6"/>
      <c r="N269" s="7"/>
      <c r="O269" s="5"/>
      <c r="P269" s="6"/>
      <c r="Q269" s="7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6"/>
      <c r="N270" s="7"/>
      <c r="O270" s="5"/>
      <c r="P270" s="6"/>
      <c r="Q270" s="7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6"/>
      <c r="N271" s="7"/>
      <c r="O271" s="5"/>
      <c r="P271" s="6"/>
      <c r="Q271" s="7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6"/>
      <c r="N272" s="7"/>
      <c r="O272" s="5"/>
      <c r="P272" s="6"/>
      <c r="Q272" s="7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6"/>
      <c r="N273" s="7"/>
      <c r="O273" s="5"/>
      <c r="P273" s="6"/>
      <c r="Q273" s="7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6"/>
      <c r="N274" s="7"/>
      <c r="O274" s="5"/>
      <c r="P274" s="6"/>
      <c r="Q274" s="7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6"/>
      <c r="N275" s="7"/>
      <c r="O275" s="5"/>
      <c r="P275" s="6"/>
      <c r="Q275" s="7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6"/>
      <c r="N276" s="7"/>
      <c r="O276" s="5"/>
      <c r="P276" s="6"/>
      <c r="Q276" s="7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6"/>
      <c r="N277" s="7"/>
      <c r="O277" s="5"/>
      <c r="P277" s="6"/>
      <c r="Q277" s="7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6"/>
      <c r="N278" s="7"/>
      <c r="O278" s="5"/>
      <c r="P278" s="6"/>
      <c r="Q278" s="7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6"/>
      <c r="N279" s="7"/>
      <c r="O279" s="5"/>
      <c r="P279" s="6"/>
      <c r="Q279" s="7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6"/>
      <c r="N280" s="7"/>
      <c r="O280" s="5"/>
      <c r="P280" s="6"/>
      <c r="Q280" s="7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6"/>
      <c r="N281" s="7"/>
      <c r="O281" s="5"/>
      <c r="P281" s="6"/>
      <c r="Q281" s="7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6"/>
      <c r="N282" s="7"/>
      <c r="O282" s="5"/>
      <c r="P282" s="6"/>
      <c r="Q282" s="7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6"/>
      <c r="N283" s="7"/>
      <c r="O283" s="5"/>
      <c r="P283" s="6"/>
      <c r="Q283" s="7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6"/>
      <c r="N284" s="7"/>
      <c r="O284" s="5"/>
      <c r="P284" s="6"/>
      <c r="Q284" s="7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6"/>
      <c r="N285" s="7"/>
      <c r="O285" s="5"/>
      <c r="P285" s="6"/>
      <c r="Q285" s="7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6"/>
      <c r="N286" s="7"/>
      <c r="O286" s="5"/>
      <c r="P286" s="6"/>
      <c r="Q286" s="7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6"/>
      <c r="N287" s="7"/>
      <c r="O287" s="5"/>
      <c r="P287" s="6"/>
      <c r="Q287" s="7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6"/>
      <c r="N288" s="7"/>
      <c r="O288" s="5"/>
      <c r="P288" s="6"/>
      <c r="Q288" s="7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6"/>
      <c r="N289" s="7"/>
      <c r="O289" s="5"/>
      <c r="P289" s="6"/>
      <c r="Q289" s="7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6"/>
      <c r="N290" s="7"/>
      <c r="O290" s="5"/>
      <c r="P290" s="6"/>
      <c r="Q290" s="7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6"/>
      <c r="N291" s="7"/>
      <c r="O291" s="5"/>
      <c r="P291" s="6"/>
      <c r="Q291" s="7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6"/>
      <c r="N292" s="7"/>
      <c r="O292" s="5"/>
      <c r="P292" s="6"/>
      <c r="Q292" s="7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6"/>
      <c r="N293" s="7"/>
      <c r="O293" s="5"/>
      <c r="P293" s="6"/>
      <c r="Q293" s="7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6"/>
      <c r="N294" s="7"/>
      <c r="O294" s="5"/>
      <c r="P294" s="6"/>
      <c r="Q294" s="7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6"/>
      <c r="N295" s="7"/>
      <c r="O295" s="5"/>
      <c r="P295" s="6"/>
      <c r="Q295" s="7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6"/>
      <c r="N296" s="7"/>
      <c r="O296" s="5"/>
      <c r="P296" s="6"/>
      <c r="Q296" s="7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6"/>
      <c r="N297" s="7"/>
      <c r="O297" s="5"/>
      <c r="P297" s="6"/>
      <c r="Q297" s="7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6"/>
      <c r="N298" s="7"/>
      <c r="O298" s="5"/>
      <c r="P298" s="6"/>
      <c r="Q298" s="7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6"/>
      <c r="N299" s="7"/>
      <c r="O299" s="5"/>
      <c r="P299" s="6"/>
      <c r="Q299" s="7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6"/>
      <c r="N300" s="7"/>
      <c r="O300" s="5"/>
      <c r="P300" s="6"/>
      <c r="Q300" s="7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6"/>
      <c r="N301" s="7"/>
      <c r="O301" s="5"/>
      <c r="P301" s="6"/>
      <c r="Q301" s="7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6"/>
      <c r="N302" s="7"/>
      <c r="O302" s="5"/>
      <c r="P302" s="6"/>
      <c r="Q302" s="7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6"/>
      <c r="N303" s="7"/>
      <c r="O303" s="5"/>
      <c r="P303" s="6"/>
      <c r="Q303" s="7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6"/>
      <c r="N304" s="7"/>
      <c r="O304" s="5"/>
      <c r="P304" s="6"/>
      <c r="Q304" s="7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6"/>
      <c r="N305" s="7"/>
      <c r="O305" s="5"/>
      <c r="P305" s="6"/>
      <c r="Q305" s="7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6"/>
      <c r="N306" s="7"/>
      <c r="O306" s="5"/>
      <c r="P306" s="6"/>
      <c r="Q306" s="7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6"/>
      <c r="N307" s="7"/>
      <c r="O307" s="5"/>
      <c r="P307" s="6"/>
      <c r="Q307" s="7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6"/>
      <c r="N308" s="7"/>
      <c r="O308" s="5"/>
      <c r="P308" s="6"/>
      <c r="Q308" s="7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6"/>
      <c r="N309" s="7"/>
      <c r="O309" s="5"/>
      <c r="P309" s="6"/>
      <c r="Q309" s="7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6"/>
      <c r="N310" s="7"/>
      <c r="O310" s="5"/>
      <c r="P310" s="6"/>
      <c r="Q310" s="7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6"/>
      <c r="N311" s="7"/>
      <c r="O311" s="5"/>
      <c r="P311" s="6"/>
      <c r="Q311" s="7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6"/>
      <c r="N312" s="7"/>
      <c r="O312" s="5"/>
      <c r="P312" s="6"/>
      <c r="Q312" s="7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6"/>
      <c r="N313" s="7"/>
      <c r="O313" s="5"/>
      <c r="P313" s="6"/>
      <c r="Q313" s="7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6"/>
      <c r="N314" s="7"/>
      <c r="O314" s="5"/>
      <c r="P314" s="6"/>
      <c r="Q314" s="7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6"/>
      <c r="N315" s="7"/>
      <c r="O315" s="5"/>
      <c r="P315" s="6"/>
      <c r="Q315" s="7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6"/>
      <c r="N316" s="7"/>
      <c r="O316" s="5"/>
      <c r="P316" s="6"/>
      <c r="Q316" s="7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6"/>
      <c r="N317" s="7"/>
      <c r="O317" s="5"/>
      <c r="P317" s="6"/>
      <c r="Q317" s="7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6"/>
      <c r="N318" s="7"/>
      <c r="O318" s="5"/>
      <c r="P318" s="6"/>
      <c r="Q318" s="7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6"/>
      <c r="N319" s="7"/>
      <c r="O319" s="5"/>
      <c r="P319" s="6"/>
      <c r="Q319" s="7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6"/>
      <c r="N320" s="7"/>
      <c r="O320" s="5"/>
      <c r="P320" s="6"/>
      <c r="Q320" s="7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6"/>
      <c r="N321" s="7"/>
      <c r="O321" s="5"/>
      <c r="P321" s="6"/>
      <c r="Q321" s="7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6"/>
      <c r="N322" s="7"/>
      <c r="O322" s="5"/>
      <c r="P322" s="6"/>
      <c r="Q322" s="7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6"/>
      <c r="N323" s="7"/>
      <c r="O323" s="5"/>
      <c r="P323" s="6"/>
      <c r="Q323" s="7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6"/>
      <c r="N324" s="7"/>
      <c r="O324" s="5"/>
      <c r="P324" s="6"/>
      <c r="Q324" s="7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6"/>
      <c r="N325" s="7"/>
      <c r="O325" s="5"/>
      <c r="P325" s="6"/>
      <c r="Q325" s="7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6"/>
      <c r="N326" s="7"/>
      <c r="O326" s="5"/>
      <c r="P326" s="6"/>
      <c r="Q326" s="7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6"/>
      <c r="N327" s="7"/>
      <c r="O327" s="5"/>
      <c r="P327" s="6"/>
      <c r="Q327" s="7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6"/>
      <c r="N328" s="7"/>
      <c r="O328" s="5"/>
      <c r="P328" s="6"/>
      <c r="Q328" s="7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6"/>
      <c r="N329" s="7"/>
      <c r="O329" s="5"/>
      <c r="P329" s="6"/>
      <c r="Q329" s="7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6"/>
      <c r="N330" s="7"/>
      <c r="O330" s="5"/>
      <c r="P330" s="6"/>
      <c r="Q330" s="7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6"/>
      <c r="N331" s="7"/>
      <c r="O331" s="5"/>
      <c r="P331" s="6"/>
      <c r="Q331" s="7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6"/>
      <c r="N332" s="7"/>
      <c r="O332" s="5"/>
      <c r="P332" s="6"/>
      <c r="Q332" s="7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6"/>
      <c r="N333" s="7"/>
      <c r="O333" s="5"/>
      <c r="P333" s="6"/>
      <c r="Q333" s="7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6"/>
      <c r="N334" s="7"/>
      <c r="O334" s="5"/>
      <c r="P334" s="6"/>
      <c r="Q334" s="7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6"/>
      <c r="N335" s="7"/>
      <c r="O335" s="5"/>
      <c r="P335" s="6"/>
      <c r="Q335" s="7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6"/>
      <c r="N336" s="7"/>
      <c r="O336" s="5"/>
      <c r="P336" s="6"/>
      <c r="Q336" s="7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6"/>
      <c r="N337" s="7"/>
      <c r="O337" s="5"/>
      <c r="P337" s="6"/>
      <c r="Q337" s="7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6"/>
      <c r="N338" s="7"/>
      <c r="O338" s="5"/>
      <c r="P338" s="6"/>
      <c r="Q338" s="7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6"/>
      <c r="N339" s="7"/>
      <c r="O339" s="5"/>
      <c r="P339" s="6"/>
      <c r="Q339" s="7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6"/>
      <c r="N340" s="7"/>
      <c r="O340" s="5"/>
      <c r="P340" s="6"/>
      <c r="Q340" s="7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6"/>
      <c r="N341" s="7"/>
      <c r="O341" s="5"/>
      <c r="P341" s="6"/>
      <c r="Q341" s="7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6"/>
      <c r="N342" s="7"/>
      <c r="O342" s="5"/>
      <c r="P342" s="6"/>
      <c r="Q342" s="7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6"/>
      <c r="N343" s="7"/>
      <c r="O343" s="5"/>
      <c r="P343" s="6"/>
      <c r="Q343" s="7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6"/>
      <c r="N344" s="7"/>
      <c r="O344" s="5"/>
      <c r="P344" s="6"/>
      <c r="Q344" s="7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6"/>
      <c r="N345" s="7"/>
      <c r="O345" s="5"/>
      <c r="P345" s="6"/>
      <c r="Q345" s="7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6"/>
      <c r="N346" s="7"/>
      <c r="O346" s="5"/>
      <c r="P346" s="6"/>
      <c r="Q346" s="7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6"/>
      <c r="N347" s="7"/>
      <c r="O347" s="5"/>
      <c r="P347" s="6"/>
      <c r="Q347" s="7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6"/>
      <c r="N348" s="7"/>
      <c r="O348" s="5"/>
      <c r="P348" s="6"/>
      <c r="Q348" s="7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6"/>
      <c r="N349" s="7"/>
      <c r="O349" s="5"/>
      <c r="P349" s="6"/>
      <c r="Q349" s="7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6"/>
      <c r="N350" s="7"/>
      <c r="O350" s="5"/>
      <c r="P350" s="6"/>
      <c r="Q350" s="7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6"/>
      <c r="N351" s="7"/>
      <c r="O351" s="5"/>
      <c r="P351" s="6"/>
      <c r="Q351" s="7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6"/>
      <c r="N352" s="7"/>
      <c r="O352" s="5"/>
      <c r="P352" s="6"/>
      <c r="Q352" s="7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6"/>
      <c r="N353" s="7"/>
      <c r="O353" s="5"/>
      <c r="P353" s="6"/>
      <c r="Q353" s="7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6"/>
      <c r="N354" s="7"/>
      <c r="O354" s="5"/>
      <c r="P354" s="6"/>
      <c r="Q354" s="7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6"/>
      <c r="N355" s="7"/>
      <c r="O355" s="5"/>
      <c r="P355" s="6"/>
      <c r="Q355" s="7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6"/>
      <c r="N356" s="7"/>
      <c r="O356" s="5"/>
      <c r="P356" s="6"/>
      <c r="Q356" s="7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6"/>
      <c r="N357" s="7"/>
      <c r="O357" s="5"/>
      <c r="P357" s="6"/>
      <c r="Q357" s="7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6"/>
      <c r="N358" s="7"/>
      <c r="O358" s="5"/>
      <c r="P358" s="6"/>
      <c r="Q358" s="7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6"/>
      <c r="N359" s="7"/>
      <c r="O359" s="5"/>
      <c r="P359" s="6"/>
      <c r="Q359" s="7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6"/>
      <c r="N360" s="7"/>
      <c r="O360" s="5"/>
      <c r="P360" s="6"/>
      <c r="Q360" s="7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6"/>
      <c r="N361" s="7"/>
      <c r="O361" s="5"/>
      <c r="P361" s="6"/>
      <c r="Q361" s="7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6"/>
      <c r="N362" s="7"/>
      <c r="O362" s="5"/>
      <c r="P362" s="6"/>
      <c r="Q362" s="7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6"/>
      <c r="N363" s="7"/>
      <c r="O363" s="5"/>
      <c r="P363" s="6"/>
      <c r="Q363" s="7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6"/>
      <c r="N364" s="7"/>
      <c r="O364" s="5"/>
      <c r="P364" s="6"/>
      <c r="Q364" s="7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6"/>
      <c r="N365" s="7"/>
      <c r="O365" s="5"/>
      <c r="P365" s="6"/>
      <c r="Q365" s="7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6"/>
      <c r="N366" s="7"/>
      <c r="O366" s="5"/>
      <c r="P366" s="6"/>
      <c r="Q366" s="7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6"/>
      <c r="N367" s="7"/>
      <c r="O367" s="5"/>
      <c r="P367" s="6"/>
      <c r="Q367" s="7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6"/>
      <c r="N368" s="7"/>
      <c r="O368" s="5"/>
      <c r="P368" s="6"/>
      <c r="Q368" s="7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6"/>
      <c r="N369" s="7"/>
      <c r="O369" s="5"/>
      <c r="P369" s="6"/>
      <c r="Q369" s="7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6"/>
      <c r="N370" s="7"/>
      <c r="O370" s="5"/>
      <c r="P370" s="6"/>
      <c r="Q370" s="7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6"/>
      <c r="N371" s="7"/>
      <c r="O371" s="5"/>
      <c r="P371" s="6"/>
      <c r="Q371" s="7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6"/>
      <c r="N372" s="7"/>
      <c r="O372" s="5"/>
      <c r="P372" s="6"/>
      <c r="Q372" s="7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6"/>
      <c r="N373" s="7"/>
      <c r="O373" s="5"/>
      <c r="P373" s="6"/>
      <c r="Q373" s="7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6"/>
      <c r="N374" s="7"/>
      <c r="O374" s="5"/>
      <c r="P374" s="6"/>
      <c r="Q374" s="7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6"/>
      <c r="N375" s="7"/>
      <c r="O375" s="5"/>
      <c r="P375" s="6"/>
      <c r="Q375" s="7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6"/>
      <c r="N376" s="7"/>
      <c r="O376" s="5"/>
      <c r="P376" s="6"/>
      <c r="Q376" s="7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6"/>
      <c r="N377" s="7"/>
      <c r="O377" s="5"/>
      <c r="P377" s="6"/>
      <c r="Q377" s="7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6"/>
      <c r="N378" s="7"/>
      <c r="O378" s="5"/>
      <c r="P378" s="6"/>
      <c r="Q378" s="7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6"/>
      <c r="N379" s="7"/>
      <c r="O379" s="5"/>
      <c r="P379" s="6"/>
      <c r="Q379" s="7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6"/>
      <c r="N380" s="7"/>
      <c r="O380" s="5"/>
      <c r="P380" s="6"/>
      <c r="Q380" s="7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6"/>
      <c r="N381" s="7"/>
      <c r="O381" s="5"/>
      <c r="P381" s="6"/>
      <c r="Q381" s="7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6"/>
      <c r="N382" s="7"/>
      <c r="O382" s="5"/>
      <c r="P382" s="6"/>
      <c r="Q382" s="7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6"/>
      <c r="N383" s="7"/>
      <c r="O383" s="5"/>
      <c r="P383" s="6"/>
      <c r="Q383" s="7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6"/>
      <c r="N384" s="7"/>
      <c r="O384" s="5"/>
      <c r="P384" s="6"/>
      <c r="Q384" s="7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6"/>
      <c r="N385" s="7"/>
      <c r="O385" s="5"/>
      <c r="P385" s="6"/>
      <c r="Q385" s="7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6"/>
      <c r="N386" s="7"/>
      <c r="O386" s="5"/>
      <c r="P386" s="6"/>
      <c r="Q386" s="7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6"/>
      <c r="N387" s="7"/>
      <c r="O387" s="5"/>
      <c r="P387" s="6"/>
      <c r="Q387" s="7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6"/>
      <c r="N388" s="7"/>
      <c r="O388" s="5"/>
      <c r="P388" s="6"/>
      <c r="Q388" s="7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6"/>
      <c r="N389" s="7"/>
      <c r="O389" s="5"/>
      <c r="P389" s="6"/>
      <c r="Q389" s="7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6"/>
      <c r="N390" s="7"/>
      <c r="O390" s="5"/>
      <c r="P390" s="6"/>
      <c r="Q390" s="7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6"/>
      <c r="N391" s="7"/>
      <c r="O391" s="5"/>
      <c r="P391" s="6"/>
      <c r="Q391" s="7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6"/>
      <c r="N392" s="7"/>
      <c r="O392" s="5"/>
      <c r="P392" s="6"/>
      <c r="Q392" s="7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6"/>
      <c r="N393" s="7"/>
      <c r="O393" s="5"/>
      <c r="P393" s="6"/>
      <c r="Q393" s="7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6"/>
      <c r="N394" s="7"/>
      <c r="O394" s="5"/>
      <c r="P394" s="6"/>
      <c r="Q394" s="7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6"/>
      <c r="N395" s="7"/>
      <c r="O395" s="5"/>
      <c r="P395" s="6"/>
      <c r="Q395" s="7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6"/>
      <c r="N396" s="7"/>
      <c r="O396" s="5"/>
      <c r="P396" s="6"/>
      <c r="Q396" s="7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6"/>
      <c r="N397" s="7"/>
      <c r="O397" s="5"/>
      <c r="P397" s="6"/>
      <c r="Q397" s="7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6"/>
      <c r="N398" s="7"/>
      <c r="O398" s="5"/>
      <c r="P398" s="6"/>
      <c r="Q398" s="7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6"/>
      <c r="N399" s="7"/>
      <c r="O399" s="5"/>
      <c r="P399" s="6"/>
      <c r="Q399" s="7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6"/>
      <c r="N400" s="7"/>
      <c r="O400" s="5"/>
      <c r="P400" s="6"/>
      <c r="Q400" s="7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6"/>
      <c r="N401" s="7"/>
      <c r="O401" s="5"/>
      <c r="P401" s="6"/>
      <c r="Q401" s="7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6"/>
      <c r="N402" s="7"/>
      <c r="O402" s="5"/>
      <c r="P402" s="6"/>
      <c r="Q402" s="7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6"/>
      <c r="N403" s="7"/>
      <c r="O403" s="5"/>
      <c r="P403" s="6"/>
      <c r="Q403" s="7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6"/>
      <c r="N404" s="7"/>
      <c r="O404" s="5"/>
      <c r="P404" s="6"/>
      <c r="Q404" s="7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6"/>
      <c r="N405" s="7"/>
      <c r="O405" s="5"/>
      <c r="P405" s="6"/>
      <c r="Q405" s="7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6"/>
      <c r="N406" s="7"/>
      <c r="O406" s="5"/>
      <c r="P406" s="6"/>
      <c r="Q406" s="7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6"/>
      <c r="N407" s="7"/>
      <c r="O407" s="5"/>
      <c r="P407" s="6"/>
      <c r="Q407" s="7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6"/>
      <c r="N408" s="7"/>
      <c r="O408" s="5"/>
      <c r="P408" s="6"/>
      <c r="Q408" s="7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6"/>
      <c r="N409" s="7"/>
      <c r="O409" s="5"/>
      <c r="P409" s="6"/>
      <c r="Q409" s="7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6"/>
      <c r="N410" s="7"/>
      <c r="O410" s="5"/>
      <c r="P410" s="6"/>
      <c r="Q410" s="7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6"/>
      <c r="N411" s="7"/>
      <c r="O411" s="5"/>
      <c r="P411" s="6"/>
      <c r="Q411" s="7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6"/>
      <c r="N412" s="7"/>
      <c r="O412" s="5"/>
      <c r="P412" s="6"/>
      <c r="Q412" s="7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6"/>
      <c r="N413" s="7"/>
      <c r="O413" s="5"/>
      <c r="P413" s="6"/>
      <c r="Q413" s="7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6"/>
      <c r="N414" s="7"/>
      <c r="O414" s="5"/>
      <c r="P414" s="6"/>
      <c r="Q414" s="7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6"/>
      <c r="N415" s="7"/>
      <c r="O415" s="5"/>
      <c r="P415" s="6"/>
      <c r="Q415" s="7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6"/>
      <c r="N416" s="7"/>
      <c r="O416" s="5"/>
      <c r="P416" s="6"/>
      <c r="Q416" s="7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6"/>
      <c r="N417" s="7"/>
      <c r="O417" s="5"/>
      <c r="P417" s="6"/>
      <c r="Q417" s="7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6"/>
      <c r="N418" s="7"/>
      <c r="O418" s="5"/>
      <c r="P418" s="6"/>
      <c r="Q418" s="7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6"/>
      <c r="N419" s="7"/>
      <c r="O419" s="5"/>
      <c r="P419" s="6"/>
      <c r="Q419" s="7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6"/>
      <c r="N420" s="7"/>
      <c r="O420" s="5"/>
      <c r="P420" s="6"/>
      <c r="Q420" s="7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6"/>
      <c r="N421" s="7"/>
      <c r="O421" s="5"/>
      <c r="P421" s="6"/>
      <c r="Q421" s="7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6"/>
      <c r="N422" s="7"/>
      <c r="O422" s="5"/>
      <c r="P422" s="6"/>
      <c r="Q422" s="7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6"/>
      <c r="N423" s="7"/>
      <c r="O423" s="5"/>
      <c r="P423" s="6"/>
      <c r="Q423" s="7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6"/>
      <c r="N424" s="7"/>
      <c r="O424" s="5"/>
      <c r="P424" s="6"/>
      <c r="Q424" s="7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6"/>
      <c r="N425" s="7"/>
      <c r="O425" s="5"/>
      <c r="P425" s="6"/>
      <c r="Q425" s="7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6"/>
      <c r="N426" s="7"/>
      <c r="O426" s="5"/>
      <c r="P426" s="6"/>
      <c r="Q426" s="7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6"/>
      <c r="N427" s="7"/>
      <c r="O427" s="5"/>
      <c r="P427" s="6"/>
      <c r="Q427" s="7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6"/>
      <c r="N428" s="7"/>
      <c r="O428" s="5"/>
      <c r="P428" s="6"/>
      <c r="Q428" s="7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6"/>
      <c r="N429" s="7"/>
      <c r="O429" s="5"/>
      <c r="P429" s="6"/>
      <c r="Q429" s="7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6"/>
      <c r="N430" s="7"/>
      <c r="O430" s="5"/>
      <c r="P430" s="6"/>
      <c r="Q430" s="7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6"/>
      <c r="N431" s="7"/>
      <c r="O431" s="5"/>
      <c r="P431" s="6"/>
      <c r="Q431" s="7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6"/>
      <c r="N432" s="7"/>
      <c r="O432" s="5"/>
      <c r="P432" s="6"/>
      <c r="Q432" s="7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6"/>
      <c r="N433" s="7"/>
      <c r="O433" s="5"/>
      <c r="P433" s="6"/>
      <c r="Q433" s="7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6"/>
      <c r="N434" s="7"/>
      <c r="O434" s="5"/>
      <c r="P434" s="6"/>
      <c r="Q434" s="7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6"/>
      <c r="N435" s="7"/>
      <c r="O435" s="5"/>
      <c r="P435" s="6"/>
      <c r="Q435" s="7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6"/>
      <c r="N436" s="7"/>
      <c r="O436" s="5"/>
      <c r="P436" s="6"/>
      <c r="Q436" s="7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6"/>
      <c r="N437" s="7"/>
      <c r="O437" s="5"/>
      <c r="P437" s="6"/>
      <c r="Q437" s="7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6"/>
      <c r="N438" s="7"/>
      <c r="O438" s="5"/>
      <c r="P438" s="6"/>
      <c r="Q438" s="7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6"/>
      <c r="N439" s="7"/>
      <c r="O439" s="5"/>
      <c r="P439" s="6"/>
      <c r="Q439" s="7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6"/>
      <c r="N440" s="7"/>
      <c r="O440" s="5"/>
      <c r="P440" s="6"/>
      <c r="Q440" s="7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6"/>
      <c r="N441" s="7"/>
      <c r="O441" s="5"/>
      <c r="P441" s="6"/>
      <c r="Q441" s="7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6"/>
      <c r="N442" s="7"/>
      <c r="O442" s="5"/>
      <c r="P442" s="6"/>
      <c r="Q442" s="7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6"/>
      <c r="N443" s="7"/>
      <c r="O443" s="5"/>
      <c r="P443" s="6"/>
      <c r="Q443" s="7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6"/>
      <c r="N444" s="7"/>
      <c r="O444" s="5"/>
      <c r="P444" s="6"/>
      <c r="Q444" s="7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6"/>
      <c r="N445" s="7"/>
      <c r="O445" s="5"/>
      <c r="P445" s="6"/>
      <c r="Q445" s="7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6"/>
      <c r="N446" s="7"/>
      <c r="O446" s="5"/>
      <c r="P446" s="6"/>
      <c r="Q446" s="7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6"/>
      <c r="N447" s="7"/>
      <c r="O447" s="5"/>
      <c r="P447" s="6"/>
      <c r="Q447" s="7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6"/>
      <c r="N448" s="7"/>
      <c r="O448" s="5"/>
      <c r="P448" s="6"/>
      <c r="Q448" s="7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6"/>
      <c r="N449" s="7"/>
      <c r="O449" s="5"/>
      <c r="P449" s="6"/>
      <c r="Q449" s="7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6"/>
      <c r="N450" s="7"/>
      <c r="O450" s="5"/>
      <c r="P450" s="6"/>
      <c r="Q450" s="7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6"/>
      <c r="N451" s="7"/>
      <c r="O451" s="5"/>
      <c r="P451" s="6"/>
      <c r="Q451" s="7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6"/>
      <c r="N452" s="7"/>
      <c r="O452" s="5"/>
      <c r="P452" s="6"/>
      <c r="Q452" s="7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6"/>
      <c r="N453" s="7"/>
      <c r="O453" s="5"/>
      <c r="P453" s="6"/>
      <c r="Q453" s="7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6"/>
      <c r="N454" s="7"/>
      <c r="O454" s="5"/>
      <c r="P454" s="6"/>
      <c r="Q454" s="7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6"/>
      <c r="N455" s="7"/>
      <c r="O455" s="5"/>
      <c r="P455" s="6"/>
      <c r="Q455" s="7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6"/>
      <c r="N456" s="7"/>
      <c r="O456" s="5"/>
      <c r="P456" s="6"/>
      <c r="Q456" s="7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6"/>
      <c r="N457" s="7"/>
      <c r="O457" s="5"/>
      <c r="P457" s="6"/>
      <c r="Q457" s="7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6"/>
      <c r="N458" s="7"/>
      <c r="O458" s="5"/>
      <c r="P458" s="6"/>
      <c r="Q458" s="7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6"/>
      <c r="N459" s="7"/>
      <c r="O459" s="5"/>
      <c r="P459" s="6"/>
      <c r="Q459" s="7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6"/>
      <c r="N460" s="7"/>
      <c r="O460" s="5"/>
      <c r="P460" s="6"/>
      <c r="Q460" s="7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6"/>
      <c r="N461" s="7"/>
      <c r="O461" s="5"/>
      <c r="P461" s="6"/>
      <c r="Q461" s="7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6"/>
      <c r="N462" s="7"/>
      <c r="O462" s="5"/>
      <c r="P462" s="6"/>
      <c r="Q462" s="7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6"/>
      <c r="N463" s="7"/>
      <c r="O463" s="5"/>
      <c r="P463" s="6"/>
      <c r="Q463" s="7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6"/>
      <c r="N464" s="7"/>
      <c r="O464" s="5"/>
      <c r="P464" s="6"/>
      <c r="Q464" s="7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6"/>
      <c r="N465" s="7"/>
      <c r="O465" s="5"/>
      <c r="P465" s="6"/>
      <c r="Q465" s="7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6"/>
      <c r="N466" s="7"/>
      <c r="O466" s="5"/>
      <c r="P466" s="6"/>
      <c r="Q466" s="7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6"/>
      <c r="N467" s="7"/>
      <c r="O467" s="5"/>
      <c r="P467" s="6"/>
      <c r="Q467" s="7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6"/>
      <c r="N468" s="7"/>
      <c r="O468" s="5"/>
      <c r="P468" s="6"/>
      <c r="Q468" s="7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6"/>
      <c r="N469" s="7"/>
      <c r="O469" s="5"/>
      <c r="P469" s="6"/>
      <c r="Q469" s="7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6"/>
      <c r="N470" s="7"/>
      <c r="O470" s="5"/>
      <c r="P470" s="6"/>
      <c r="Q470" s="7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6"/>
      <c r="N471" s="7"/>
      <c r="O471" s="5"/>
      <c r="P471" s="6"/>
      <c r="Q471" s="7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6"/>
      <c r="N472" s="7"/>
      <c r="O472" s="5"/>
      <c r="P472" s="6"/>
      <c r="Q472" s="7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6"/>
      <c r="N473" s="7"/>
      <c r="O473" s="5"/>
      <c r="P473" s="6"/>
      <c r="Q473" s="7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6"/>
      <c r="N474" s="7"/>
      <c r="O474" s="5"/>
      <c r="P474" s="6"/>
      <c r="Q474" s="7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6"/>
      <c r="N475" s="7"/>
      <c r="O475" s="5"/>
      <c r="P475" s="6"/>
      <c r="Q475" s="7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6"/>
      <c r="N476" s="7"/>
      <c r="O476" s="5"/>
      <c r="P476" s="6"/>
      <c r="Q476" s="7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6"/>
      <c r="N477" s="7"/>
      <c r="O477" s="5"/>
      <c r="P477" s="6"/>
      <c r="Q477" s="7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6"/>
      <c r="N478" s="7"/>
      <c r="O478" s="5"/>
      <c r="P478" s="6"/>
      <c r="Q478" s="7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6"/>
      <c r="N479" s="7"/>
      <c r="O479" s="5"/>
      <c r="P479" s="6"/>
      <c r="Q479" s="7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6"/>
      <c r="N480" s="7"/>
      <c r="O480" s="5"/>
      <c r="P480" s="6"/>
      <c r="Q480" s="7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6"/>
      <c r="N481" s="7"/>
      <c r="O481" s="5"/>
      <c r="P481" s="6"/>
      <c r="Q481" s="7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6"/>
      <c r="N482" s="7"/>
      <c r="O482" s="5"/>
      <c r="P482" s="6"/>
      <c r="Q482" s="7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6"/>
      <c r="N483" s="7"/>
      <c r="O483" s="5"/>
      <c r="P483" s="6"/>
      <c r="Q483" s="7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6"/>
      <c r="N484" s="7"/>
      <c r="O484" s="5"/>
      <c r="P484" s="6"/>
      <c r="Q484" s="7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6"/>
      <c r="N485" s="7"/>
      <c r="O485" s="5"/>
      <c r="P485" s="6"/>
      <c r="Q485" s="7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6"/>
      <c r="N486" s="7"/>
      <c r="O486" s="5"/>
      <c r="P486" s="6"/>
      <c r="Q486" s="7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6"/>
      <c r="N487" s="7"/>
      <c r="O487" s="5"/>
      <c r="P487" s="6"/>
      <c r="Q487" s="7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6"/>
      <c r="N488" s="7"/>
      <c r="O488" s="5"/>
      <c r="P488" s="6"/>
      <c r="Q488" s="7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6"/>
      <c r="N489" s="7"/>
      <c r="O489" s="5"/>
      <c r="P489" s="6"/>
      <c r="Q489" s="7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6"/>
      <c r="N490" s="7"/>
      <c r="O490" s="5"/>
      <c r="P490" s="6"/>
      <c r="Q490" s="7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6"/>
      <c r="N491" s="7"/>
      <c r="O491" s="5"/>
      <c r="P491" s="6"/>
      <c r="Q491" s="7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6"/>
      <c r="N492" s="7"/>
      <c r="O492" s="5"/>
      <c r="P492" s="6"/>
      <c r="Q492" s="7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6"/>
      <c r="N493" s="7"/>
      <c r="O493" s="5"/>
      <c r="P493" s="6"/>
      <c r="Q493" s="7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6"/>
      <c r="N494" s="7"/>
      <c r="O494" s="5"/>
      <c r="P494" s="6"/>
      <c r="Q494" s="7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6"/>
      <c r="N495" s="7"/>
      <c r="O495" s="5"/>
      <c r="P495" s="6"/>
      <c r="Q495" s="7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6"/>
      <c r="N496" s="7"/>
      <c r="O496" s="5"/>
      <c r="P496" s="6"/>
      <c r="Q496" s="7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6"/>
      <c r="N497" s="7"/>
      <c r="O497" s="5"/>
      <c r="P497" s="6"/>
      <c r="Q497" s="7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6"/>
      <c r="N498" s="7"/>
      <c r="O498" s="5"/>
      <c r="P498" s="6"/>
      <c r="Q498" s="7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6"/>
      <c r="N499" s="7"/>
      <c r="O499" s="5"/>
      <c r="P499" s="6"/>
      <c r="Q499" s="7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6"/>
      <c r="N500" s="7"/>
      <c r="O500" s="5"/>
      <c r="P500" s="6"/>
      <c r="Q500" s="7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6"/>
      <c r="N501" s="7"/>
      <c r="O501" s="5"/>
      <c r="P501" s="6"/>
      <c r="Q501" s="7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6"/>
      <c r="N502" s="7"/>
      <c r="O502" s="5"/>
      <c r="P502" s="6"/>
      <c r="Q502" s="7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6"/>
      <c r="N503" s="7"/>
      <c r="O503" s="5"/>
      <c r="P503" s="6"/>
      <c r="Q503" s="7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6"/>
      <c r="N504" s="7"/>
      <c r="O504" s="5"/>
      <c r="P504" s="6"/>
      <c r="Q504" s="7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6"/>
      <c r="N505" s="7"/>
      <c r="O505" s="5"/>
      <c r="P505" s="6"/>
      <c r="Q505" s="7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6"/>
      <c r="N506" s="7"/>
      <c r="O506" s="5"/>
      <c r="P506" s="6"/>
      <c r="Q506" s="7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6"/>
      <c r="N507" s="7"/>
      <c r="O507" s="5"/>
      <c r="P507" s="6"/>
      <c r="Q507" s="7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6"/>
      <c r="N508" s="7"/>
      <c r="O508" s="5"/>
      <c r="P508" s="6"/>
      <c r="Q508" s="7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6"/>
      <c r="N509" s="7"/>
      <c r="O509" s="5"/>
      <c r="P509" s="6"/>
      <c r="Q509" s="7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6"/>
      <c r="N510" s="7"/>
      <c r="O510" s="5"/>
      <c r="P510" s="6"/>
      <c r="Q510" s="7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6"/>
      <c r="N511" s="7"/>
      <c r="O511" s="5"/>
      <c r="P511" s="6"/>
      <c r="Q511" s="7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6"/>
      <c r="N512" s="7"/>
      <c r="O512" s="5"/>
      <c r="P512" s="6"/>
      <c r="Q512" s="7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6"/>
      <c r="N513" s="7"/>
      <c r="O513" s="5"/>
      <c r="P513" s="6"/>
      <c r="Q513" s="7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6"/>
      <c r="N514" s="7"/>
      <c r="O514" s="5"/>
      <c r="P514" s="6"/>
      <c r="Q514" s="7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6"/>
      <c r="N515" s="7"/>
      <c r="O515" s="5"/>
      <c r="P515" s="6"/>
      <c r="Q515" s="7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6"/>
      <c r="N516" s="7"/>
      <c r="O516" s="5"/>
      <c r="P516" s="6"/>
      <c r="Q516" s="7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6"/>
      <c r="N517" s="7"/>
      <c r="O517" s="5"/>
      <c r="P517" s="6"/>
      <c r="Q517" s="7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6"/>
      <c r="N518" s="7"/>
      <c r="O518" s="5"/>
      <c r="P518" s="6"/>
      <c r="Q518" s="7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6"/>
      <c r="N519" s="7"/>
      <c r="O519" s="5"/>
      <c r="P519" s="6"/>
      <c r="Q519" s="7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6"/>
      <c r="N520" s="7"/>
      <c r="O520" s="5"/>
      <c r="P520" s="6"/>
      <c r="Q520" s="7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6"/>
      <c r="N521" s="7"/>
      <c r="O521" s="5"/>
      <c r="P521" s="6"/>
      <c r="Q521" s="7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6"/>
      <c r="N522" s="7"/>
      <c r="O522" s="5"/>
      <c r="P522" s="6"/>
      <c r="Q522" s="7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6"/>
      <c r="N523" s="7"/>
      <c r="O523" s="5"/>
      <c r="P523" s="6"/>
      <c r="Q523" s="7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6"/>
      <c r="N524" s="7"/>
      <c r="O524" s="5"/>
      <c r="P524" s="6"/>
      <c r="Q524" s="7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6"/>
      <c r="N525" s="7"/>
      <c r="O525" s="5"/>
      <c r="P525" s="6"/>
      <c r="Q525" s="7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6"/>
      <c r="N526" s="7"/>
      <c r="O526" s="5"/>
      <c r="P526" s="6"/>
      <c r="Q526" s="7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6"/>
      <c r="N527" s="7"/>
      <c r="O527" s="5"/>
      <c r="P527" s="6"/>
      <c r="Q527" s="7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6"/>
      <c r="N528" s="7"/>
      <c r="O528" s="5"/>
      <c r="P528" s="6"/>
      <c r="Q528" s="7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6"/>
      <c r="N529" s="7"/>
      <c r="O529" s="5"/>
      <c r="P529" s="6"/>
      <c r="Q529" s="7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6"/>
      <c r="N530" s="7"/>
      <c r="O530" s="5"/>
      <c r="P530" s="6"/>
      <c r="Q530" s="7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6"/>
      <c r="N531" s="7"/>
      <c r="O531" s="5"/>
      <c r="P531" s="6"/>
      <c r="Q531" s="7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6"/>
      <c r="N532" s="7"/>
      <c r="O532" s="5"/>
      <c r="P532" s="6"/>
      <c r="Q532" s="7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6"/>
      <c r="N533" s="7"/>
      <c r="O533" s="5"/>
      <c r="P533" s="6"/>
      <c r="Q533" s="7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6"/>
      <c r="N534" s="7"/>
      <c r="O534" s="5"/>
      <c r="P534" s="6"/>
      <c r="Q534" s="7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6"/>
      <c r="N535" s="7"/>
      <c r="O535" s="5"/>
      <c r="P535" s="6"/>
      <c r="Q535" s="7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6"/>
      <c r="N536" s="7"/>
      <c r="O536" s="5"/>
      <c r="P536" s="6"/>
      <c r="Q536" s="7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6"/>
      <c r="N537" s="7"/>
      <c r="O537" s="5"/>
      <c r="P537" s="6"/>
      <c r="Q537" s="7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6"/>
      <c r="N538" s="7"/>
      <c r="O538" s="5"/>
      <c r="P538" s="6"/>
      <c r="Q538" s="7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6"/>
      <c r="N539" s="7"/>
      <c r="O539" s="5"/>
      <c r="P539" s="6"/>
      <c r="Q539" s="7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6"/>
      <c r="N540" s="7"/>
      <c r="O540" s="5"/>
      <c r="P540" s="6"/>
      <c r="Q540" s="7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6"/>
      <c r="N541" s="7"/>
      <c r="O541" s="5"/>
      <c r="P541" s="6"/>
      <c r="Q541" s="7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6"/>
      <c r="N542" s="7"/>
      <c r="O542" s="5"/>
      <c r="P542" s="6"/>
      <c r="Q542" s="7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6"/>
      <c r="N543" s="7"/>
      <c r="O543" s="5"/>
      <c r="P543" s="6"/>
      <c r="Q543" s="7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6"/>
      <c r="N544" s="7"/>
      <c r="O544" s="5"/>
      <c r="P544" s="6"/>
      <c r="Q544" s="7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6"/>
      <c r="N545" s="7"/>
      <c r="O545" s="5"/>
      <c r="P545" s="6"/>
      <c r="Q545" s="7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6"/>
      <c r="N546" s="7"/>
      <c r="O546" s="5"/>
      <c r="P546" s="6"/>
      <c r="Q546" s="7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6"/>
      <c r="N547" s="7"/>
      <c r="O547" s="5"/>
      <c r="P547" s="6"/>
      <c r="Q547" s="7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6"/>
      <c r="N548" s="7"/>
      <c r="O548" s="5"/>
      <c r="P548" s="6"/>
      <c r="Q548" s="7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6"/>
      <c r="N549" s="7"/>
      <c r="O549" s="5"/>
      <c r="P549" s="6"/>
      <c r="Q549" s="7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6"/>
      <c r="N550" s="7"/>
      <c r="O550" s="5"/>
      <c r="P550" s="6"/>
      <c r="Q550" s="7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6"/>
      <c r="N551" s="7"/>
      <c r="O551" s="5"/>
      <c r="P551" s="6"/>
      <c r="Q551" s="7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6"/>
      <c r="N552" s="7"/>
      <c r="O552" s="5"/>
      <c r="P552" s="6"/>
      <c r="Q552" s="7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6"/>
      <c r="N553" s="7"/>
      <c r="O553" s="5"/>
      <c r="P553" s="6"/>
      <c r="Q553" s="7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6"/>
      <c r="N554" s="7"/>
      <c r="O554" s="5"/>
      <c r="P554" s="6"/>
      <c r="Q554" s="7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6"/>
      <c r="N555" s="7"/>
      <c r="O555" s="5"/>
      <c r="P555" s="6"/>
      <c r="Q555" s="7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6"/>
      <c r="N556" s="7"/>
      <c r="O556" s="5"/>
      <c r="P556" s="6"/>
      <c r="Q556" s="7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6"/>
      <c r="N557" s="7"/>
      <c r="O557" s="5"/>
      <c r="P557" s="6"/>
      <c r="Q557" s="7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6"/>
      <c r="N558" s="7"/>
      <c r="O558" s="5"/>
      <c r="P558" s="6"/>
      <c r="Q558" s="7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6"/>
      <c r="N559" s="7"/>
      <c r="O559" s="5"/>
      <c r="P559" s="6"/>
      <c r="Q559" s="7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6"/>
      <c r="N560" s="7"/>
      <c r="O560" s="5"/>
      <c r="P560" s="6"/>
      <c r="Q560" s="7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6"/>
      <c r="N561" s="7"/>
      <c r="O561" s="5"/>
      <c r="P561" s="6"/>
      <c r="Q561" s="7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6"/>
      <c r="N562" s="7"/>
      <c r="O562" s="5"/>
      <c r="P562" s="6"/>
      <c r="Q562" s="7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6"/>
      <c r="N563" s="7"/>
      <c r="O563" s="5"/>
      <c r="P563" s="6"/>
      <c r="Q563" s="7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6"/>
      <c r="N564" s="7"/>
      <c r="O564" s="5"/>
      <c r="P564" s="6"/>
      <c r="Q564" s="7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6"/>
      <c r="N565" s="7"/>
      <c r="O565" s="5"/>
      <c r="P565" s="6"/>
      <c r="Q565" s="7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6"/>
      <c r="N566" s="7"/>
      <c r="O566" s="5"/>
      <c r="P566" s="6"/>
      <c r="Q566" s="7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6"/>
      <c r="N567" s="7"/>
      <c r="O567" s="5"/>
      <c r="P567" s="6"/>
      <c r="Q567" s="7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6"/>
      <c r="N568" s="7"/>
      <c r="O568" s="5"/>
      <c r="P568" s="6"/>
      <c r="Q568" s="7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6"/>
      <c r="N569" s="7"/>
      <c r="O569" s="5"/>
      <c r="P569" s="6"/>
      <c r="Q569" s="7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6"/>
      <c r="N570" s="7"/>
      <c r="O570" s="5"/>
      <c r="P570" s="6"/>
      <c r="Q570" s="7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6"/>
      <c r="N571" s="7"/>
      <c r="O571" s="5"/>
      <c r="P571" s="6"/>
      <c r="Q571" s="7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6"/>
      <c r="N572" s="7"/>
      <c r="O572" s="5"/>
      <c r="P572" s="6"/>
      <c r="Q572" s="7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6"/>
      <c r="N573" s="7"/>
      <c r="O573" s="5"/>
      <c r="P573" s="6"/>
      <c r="Q573" s="7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6"/>
      <c r="N574" s="7"/>
      <c r="O574" s="5"/>
      <c r="P574" s="6"/>
      <c r="Q574" s="7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6"/>
      <c r="N575" s="7"/>
      <c r="O575" s="5"/>
      <c r="P575" s="6"/>
      <c r="Q575" s="7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6"/>
      <c r="N576" s="7"/>
      <c r="O576" s="5"/>
      <c r="P576" s="6"/>
      <c r="Q576" s="7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6"/>
      <c r="N577" s="7"/>
      <c r="O577" s="5"/>
      <c r="P577" s="6"/>
      <c r="Q577" s="7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6"/>
      <c r="N578" s="7"/>
      <c r="O578" s="5"/>
      <c r="P578" s="6"/>
      <c r="Q578" s="7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6"/>
      <c r="N579" s="7"/>
      <c r="O579" s="5"/>
      <c r="P579" s="6"/>
      <c r="Q579" s="7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6"/>
      <c r="N580" s="7"/>
      <c r="O580" s="5"/>
      <c r="P580" s="6"/>
      <c r="Q580" s="7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6"/>
      <c r="N581" s="7"/>
      <c r="O581" s="5"/>
      <c r="P581" s="6"/>
      <c r="Q581" s="7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6"/>
      <c r="N582" s="7"/>
      <c r="O582" s="5"/>
      <c r="P582" s="6"/>
      <c r="Q582" s="7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6"/>
      <c r="N583" s="7"/>
      <c r="O583" s="5"/>
      <c r="P583" s="6"/>
      <c r="Q583" s="7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6"/>
      <c r="N584" s="7"/>
      <c r="O584" s="5"/>
      <c r="P584" s="6"/>
      <c r="Q584" s="7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6"/>
      <c r="N585" s="7"/>
      <c r="O585" s="5"/>
      <c r="P585" s="6"/>
      <c r="Q585" s="7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6"/>
      <c r="N586" s="7"/>
      <c r="O586" s="5"/>
      <c r="P586" s="6"/>
      <c r="Q586" s="7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6"/>
      <c r="N587" s="7"/>
      <c r="O587" s="5"/>
      <c r="P587" s="6"/>
      <c r="Q587" s="7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6"/>
      <c r="N588" s="7"/>
      <c r="O588" s="5"/>
      <c r="P588" s="6"/>
      <c r="Q588" s="7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6"/>
      <c r="N589" s="7"/>
      <c r="O589" s="5"/>
      <c r="P589" s="6"/>
      <c r="Q589" s="7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6"/>
      <c r="N590" s="7"/>
      <c r="O590" s="5"/>
      <c r="P590" s="6"/>
      <c r="Q590" s="7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6"/>
      <c r="N591" s="7"/>
      <c r="O591" s="5"/>
      <c r="P591" s="6"/>
      <c r="Q591" s="7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6"/>
      <c r="N592" s="7"/>
      <c r="O592" s="5"/>
      <c r="P592" s="6"/>
      <c r="Q592" s="7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6"/>
      <c r="N593" s="7"/>
      <c r="O593" s="5"/>
      <c r="P593" s="6"/>
      <c r="Q593" s="7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6"/>
      <c r="N594" s="7"/>
      <c r="O594" s="5"/>
      <c r="P594" s="6"/>
      <c r="Q594" s="7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6"/>
      <c r="N595" s="7"/>
      <c r="O595" s="5"/>
      <c r="P595" s="6"/>
      <c r="Q595" s="7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6"/>
      <c r="N596" s="7"/>
      <c r="O596" s="5"/>
      <c r="P596" s="6"/>
      <c r="Q596" s="7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6"/>
      <c r="N597" s="7"/>
      <c r="O597" s="5"/>
      <c r="P597" s="6"/>
      <c r="Q597" s="7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6"/>
      <c r="N598" s="7"/>
      <c r="O598" s="5"/>
      <c r="P598" s="6"/>
      <c r="Q598" s="7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6"/>
      <c r="N599" s="7"/>
      <c r="O599" s="5"/>
      <c r="P599" s="6"/>
      <c r="Q599" s="7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6"/>
      <c r="N600" s="7"/>
      <c r="O600" s="5"/>
      <c r="P600" s="6"/>
      <c r="Q600" s="7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6"/>
      <c r="N601" s="7"/>
      <c r="O601" s="5"/>
      <c r="P601" s="6"/>
      <c r="Q601" s="7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6"/>
      <c r="N602" s="7"/>
      <c r="O602" s="5"/>
      <c r="P602" s="6"/>
      <c r="Q602" s="7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6"/>
      <c r="N603" s="7"/>
      <c r="O603" s="5"/>
      <c r="P603" s="6"/>
      <c r="Q603" s="7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6"/>
      <c r="N604" s="7"/>
      <c r="O604" s="5"/>
      <c r="P604" s="6"/>
      <c r="Q604" s="7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6"/>
      <c r="N605" s="7"/>
      <c r="O605" s="5"/>
      <c r="P605" s="6"/>
      <c r="Q605" s="7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6"/>
      <c r="N606" s="7"/>
      <c r="O606" s="5"/>
      <c r="P606" s="6"/>
      <c r="Q606" s="7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6"/>
      <c r="N607" s="7"/>
      <c r="O607" s="5"/>
      <c r="P607" s="6"/>
      <c r="Q607" s="7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6"/>
      <c r="N608" s="7"/>
      <c r="O608" s="5"/>
      <c r="P608" s="6"/>
      <c r="Q608" s="7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6"/>
      <c r="N609" s="7"/>
      <c r="O609" s="5"/>
      <c r="P609" s="6"/>
      <c r="Q609" s="7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6"/>
      <c r="N610" s="7"/>
      <c r="O610" s="5"/>
      <c r="P610" s="6"/>
      <c r="Q610" s="7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6"/>
      <c r="N611" s="7"/>
      <c r="O611" s="5"/>
      <c r="P611" s="6"/>
      <c r="Q611" s="7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6"/>
      <c r="N612" s="7"/>
      <c r="O612" s="5"/>
      <c r="P612" s="6"/>
      <c r="Q612" s="7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6"/>
      <c r="N613" s="7"/>
      <c r="O613" s="5"/>
      <c r="P613" s="6"/>
      <c r="Q613" s="7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6"/>
      <c r="N614" s="7"/>
      <c r="O614" s="5"/>
      <c r="P614" s="6"/>
      <c r="Q614" s="7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6"/>
      <c r="N615" s="7"/>
      <c r="O615" s="5"/>
      <c r="P615" s="6"/>
      <c r="Q615" s="7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6"/>
      <c r="N616" s="7"/>
      <c r="O616" s="5"/>
      <c r="P616" s="6"/>
      <c r="Q616" s="7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6"/>
      <c r="N617" s="7"/>
      <c r="O617" s="5"/>
      <c r="P617" s="6"/>
      <c r="Q617" s="7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6"/>
      <c r="N618" s="7"/>
      <c r="O618" s="5"/>
      <c r="P618" s="6"/>
      <c r="Q618" s="7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6"/>
      <c r="N619" s="7"/>
      <c r="O619" s="5"/>
      <c r="P619" s="6"/>
      <c r="Q619" s="7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6"/>
      <c r="N620" s="7"/>
      <c r="O620" s="5"/>
      <c r="P620" s="6"/>
      <c r="Q620" s="7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6"/>
      <c r="N621" s="7"/>
      <c r="O621" s="5"/>
      <c r="P621" s="6"/>
      <c r="Q621" s="7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6"/>
      <c r="N622" s="7"/>
      <c r="O622" s="5"/>
      <c r="P622" s="6"/>
      <c r="Q622" s="7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6"/>
      <c r="N623" s="7"/>
      <c r="O623" s="5"/>
      <c r="P623" s="6"/>
      <c r="Q623" s="7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6"/>
      <c r="N624" s="7"/>
      <c r="O624" s="5"/>
      <c r="P624" s="6"/>
      <c r="Q624" s="7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6"/>
      <c r="N625" s="7"/>
      <c r="O625" s="5"/>
      <c r="P625" s="6"/>
      <c r="Q625" s="7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6"/>
      <c r="N626" s="7"/>
      <c r="O626" s="5"/>
      <c r="P626" s="6"/>
      <c r="Q626" s="7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6"/>
      <c r="N627" s="7"/>
      <c r="O627" s="5"/>
      <c r="P627" s="6"/>
      <c r="Q627" s="7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6"/>
      <c r="N628" s="7"/>
      <c r="O628" s="5"/>
      <c r="P628" s="6"/>
      <c r="Q628" s="7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6"/>
      <c r="N629" s="7"/>
      <c r="O629" s="5"/>
      <c r="P629" s="6"/>
      <c r="Q629" s="7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6"/>
      <c r="N630" s="7"/>
      <c r="O630" s="5"/>
      <c r="P630" s="6"/>
      <c r="Q630" s="7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6"/>
      <c r="N631" s="7"/>
      <c r="O631" s="5"/>
      <c r="P631" s="6"/>
      <c r="Q631" s="7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6"/>
      <c r="N632" s="7"/>
      <c r="O632" s="5"/>
      <c r="P632" s="6"/>
      <c r="Q632" s="7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6"/>
      <c r="N633" s="7"/>
      <c r="O633" s="5"/>
      <c r="P633" s="6"/>
      <c r="Q633" s="7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6"/>
      <c r="N634" s="7"/>
      <c r="O634" s="5"/>
      <c r="P634" s="6"/>
      <c r="Q634" s="7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6"/>
      <c r="N635" s="7"/>
      <c r="O635" s="5"/>
      <c r="P635" s="6"/>
      <c r="Q635" s="7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6"/>
      <c r="N636" s="7"/>
      <c r="O636" s="5"/>
      <c r="P636" s="6"/>
      <c r="Q636" s="7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6"/>
      <c r="N637" s="7"/>
      <c r="O637" s="5"/>
      <c r="P637" s="6"/>
      <c r="Q637" s="7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6"/>
      <c r="N638" s="7"/>
      <c r="O638" s="5"/>
      <c r="P638" s="6"/>
      <c r="Q638" s="7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6"/>
      <c r="N639" s="7"/>
      <c r="O639" s="5"/>
      <c r="P639" s="6"/>
      <c r="Q639" s="7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6"/>
      <c r="N640" s="7"/>
      <c r="O640" s="5"/>
      <c r="P640" s="6"/>
      <c r="Q640" s="7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6"/>
      <c r="N641" s="7"/>
      <c r="O641" s="5"/>
      <c r="P641" s="6"/>
      <c r="Q641" s="7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6"/>
      <c r="N642" s="7"/>
      <c r="O642" s="5"/>
      <c r="P642" s="6"/>
      <c r="Q642" s="7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6"/>
      <c r="N643" s="7"/>
      <c r="O643" s="5"/>
      <c r="P643" s="6"/>
      <c r="Q643" s="7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6"/>
      <c r="N644" s="7"/>
      <c r="O644" s="5"/>
      <c r="P644" s="6"/>
      <c r="Q644" s="7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6"/>
      <c r="N645" s="7"/>
      <c r="O645" s="5"/>
      <c r="P645" s="6"/>
      <c r="Q645" s="7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6"/>
      <c r="N646" s="7"/>
      <c r="O646" s="5"/>
      <c r="P646" s="6"/>
      <c r="Q646" s="7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6"/>
      <c r="N647" s="7"/>
      <c r="O647" s="5"/>
      <c r="P647" s="6"/>
      <c r="Q647" s="7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6"/>
      <c r="N648" s="7"/>
      <c r="O648" s="5"/>
      <c r="P648" s="6"/>
      <c r="Q648" s="7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6"/>
      <c r="N649" s="7"/>
      <c r="O649" s="5"/>
      <c r="P649" s="6"/>
      <c r="Q649" s="7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6"/>
      <c r="N650" s="7"/>
      <c r="O650" s="5"/>
      <c r="P650" s="6"/>
      <c r="Q650" s="7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6"/>
      <c r="N651" s="7"/>
      <c r="O651" s="5"/>
      <c r="P651" s="6"/>
      <c r="Q651" s="7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6"/>
      <c r="N652" s="7"/>
      <c r="O652" s="5"/>
      <c r="P652" s="6"/>
      <c r="Q652" s="7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6"/>
      <c r="N653" s="7"/>
      <c r="O653" s="5"/>
      <c r="P653" s="6"/>
      <c r="Q653" s="7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6"/>
      <c r="N654" s="7"/>
      <c r="O654" s="5"/>
      <c r="P654" s="6"/>
      <c r="Q654" s="7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6"/>
      <c r="N655" s="7"/>
      <c r="O655" s="5"/>
      <c r="P655" s="6"/>
      <c r="Q655" s="7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6"/>
      <c r="N656" s="7"/>
      <c r="O656" s="5"/>
      <c r="P656" s="6"/>
      <c r="Q656" s="7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6"/>
      <c r="N657" s="7"/>
      <c r="O657" s="5"/>
      <c r="P657" s="6"/>
      <c r="Q657" s="7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6"/>
      <c r="N658" s="7"/>
      <c r="O658" s="5"/>
      <c r="P658" s="6"/>
      <c r="Q658" s="7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6"/>
      <c r="N659" s="7"/>
      <c r="O659" s="5"/>
      <c r="P659" s="6"/>
      <c r="Q659" s="7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6"/>
      <c r="N660" s="7"/>
      <c r="O660" s="5"/>
      <c r="P660" s="6"/>
      <c r="Q660" s="7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6"/>
      <c r="N661" s="7"/>
      <c r="O661" s="5"/>
      <c r="P661" s="6"/>
      <c r="Q661" s="7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6"/>
      <c r="N662" s="7"/>
      <c r="O662" s="5"/>
      <c r="P662" s="6"/>
      <c r="Q662" s="7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6"/>
      <c r="N663" s="7"/>
      <c r="O663" s="5"/>
      <c r="P663" s="6"/>
      <c r="Q663" s="7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6"/>
      <c r="N664" s="7"/>
      <c r="O664" s="5"/>
      <c r="P664" s="6"/>
      <c r="Q664" s="7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6"/>
      <c r="N665" s="7"/>
      <c r="O665" s="5"/>
      <c r="P665" s="6"/>
      <c r="Q665" s="7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6"/>
      <c r="N666" s="7"/>
      <c r="O666" s="5"/>
      <c r="P666" s="6"/>
      <c r="Q666" s="7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6"/>
      <c r="N667" s="7"/>
      <c r="O667" s="5"/>
      <c r="P667" s="6"/>
      <c r="Q667" s="7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6"/>
      <c r="N668" s="7"/>
      <c r="O668" s="5"/>
      <c r="P668" s="6"/>
      <c r="Q668" s="7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6"/>
      <c r="N669" s="7"/>
      <c r="O669" s="5"/>
      <c r="P669" s="6"/>
      <c r="Q669" s="7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6"/>
      <c r="N670" s="7"/>
      <c r="O670" s="5"/>
      <c r="P670" s="6"/>
      <c r="Q670" s="7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6"/>
      <c r="N671" s="7"/>
      <c r="O671" s="5"/>
      <c r="P671" s="6"/>
      <c r="Q671" s="7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6"/>
      <c r="N672" s="7"/>
      <c r="O672" s="5"/>
      <c r="P672" s="6"/>
      <c r="Q672" s="7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6"/>
      <c r="N673" s="7"/>
      <c r="O673" s="5"/>
      <c r="P673" s="6"/>
      <c r="Q673" s="7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6"/>
      <c r="N674" s="7"/>
      <c r="O674" s="5"/>
      <c r="P674" s="6"/>
      <c r="Q674" s="7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6"/>
      <c r="N675" s="7"/>
      <c r="O675" s="5"/>
      <c r="P675" s="6"/>
      <c r="Q675" s="7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6"/>
      <c r="N676" s="7"/>
      <c r="O676" s="5"/>
      <c r="P676" s="6"/>
      <c r="Q676" s="7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6"/>
      <c r="N677" s="7"/>
      <c r="O677" s="5"/>
      <c r="P677" s="6"/>
      <c r="Q677" s="7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6"/>
      <c r="N678" s="7"/>
      <c r="O678" s="5"/>
      <c r="P678" s="6"/>
      <c r="Q678" s="7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6"/>
      <c r="N679" s="7"/>
      <c r="O679" s="5"/>
      <c r="P679" s="6"/>
      <c r="Q679" s="7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6"/>
      <c r="N680" s="7"/>
      <c r="O680" s="5"/>
      <c r="P680" s="6"/>
      <c r="Q680" s="7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6"/>
      <c r="N681" s="7"/>
      <c r="O681" s="5"/>
      <c r="P681" s="6"/>
      <c r="Q681" s="7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6"/>
      <c r="N682" s="7"/>
      <c r="O682" s="5"/>
      <c r="P682" s="6"/>
      <c r="Q682" s="7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6"/>
      <c r="N683" s="7"/>
      <c r="O683" s="5"/>
      <c r="P683" s="6"/>
      <c r="Q683" s="7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6"/>
      <c r="N684" s="7"/>
      <c r="O684" s="5"/>
      <c r="P684" s="6"/>
      <c r="Q684" s="7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6"/>
      <c r="N685" s="7"/>
      <c r="O685" s="5"/>
      <c r="P685" s="6"/>
      <c r="Q685" s="7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6"/>
      <c r="N686" s="7"/>
      <c r="O686" s="5"/>
      <c r="P686" s="6"/>
      <c r="Q686" s="7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6"/>
      <c r="N687" s="7"/>
      <c r="O687" s="5"/>
      <c r="P687" s="6"/>
      <c r="Q687" s="7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6"/>
      <c r="N688" s="7"/>
      <c r="O688" s="5"/>
      <c r="P688" s="6"/>
      <c r="Q688" s="7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6"/>
      <c r="N689" s="7"/>
      <c r="O689" s="5"/>
      <c r="P689" s="6"/>
      <c r="Q689" s="7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6"/>
      <c r="N690" s="7"/>
      <c r="O690" s="5"/>
      <c r="P690" s="6"/>
      <c r="Q690" s="7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6"/>
      <c r="N691" s="7"/>
      <c r="O691" s="5"/>
      <c r="P691" s="6"/>
      <c r="Q691" s="7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6"/>
      <c r="N692" s="7"/>
      <c r="O692" s="5"/>
      <c r="P692" s="6"/>
      <c r="Q692" s="7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6"/>
      <c r="N693" s="7"/>
      <c r="O693" s="5"/>
      <c r="P693" s="6"/>
      <c r="Q693" s="7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6"/>
      <c r="N694" s="7"/>
      <c r="O694" s="5"/>
      <c r="P694" s="6"/>
      <c r="Q694" s="7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6"/>
      <c r="N695" s="7"/>
      <c r="O695" s="5"/>
      <c r="P695" s="6"/>
      <c r="Q695" s="7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6"/>
      <c r="N696" s="7"/>
      <c r="O696" s="5"/>
      <c r="P696" s="6"/>
      <c r="Q696" s="7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6"/>
      <c r="N697" s="7"/>
      <c r="O697" s="5"/>
      <c r="P697" s="6"/>
      <c r="Q697" s="7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6"/>
      <c r="N698" s="7"/>
      <c r="O698" s="5"/>
      <c r="P698" s="6"/>
      <c r="Q698" s="7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6"/>
      <c r="N699" s="7"/>
      <c r="O699" s="5"/>
      <c r="P699" s="6"/>
      <c r="Q699" s="7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6"/>
      <c r="N700" s="7"/>
      <c r="O700" s="5"/>
      <c r="P700" s="6"/>
      <c r="Q700" s="7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6"/>
      <c r="N701" s="7"/>
      <c r="O701" s="5"/>
      <c r="P701" s="6"/>
      <c r="Q701" s="7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6"/>
      <c r="N702" s="7"/>
      <c r="O702" s="5"/>
      <c r="P702" s="6"/>
      <c r="Q702" s="7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6"/>
      <c r="N703" s="7"/>
      <c r="O703" s="5"/>
      <c r="P703" s="6"/>
      <c r="Q703" s="7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6"/>
      <c r="N704" s="7"/>
      <c r="O704" s="5"/>
      <c r="P704" s="6"/>
      <c r="Q704" s="7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6"/>
      <c r="N705" s="7"/>
      <c r="O705" s="5"/>
      <c r="P705" s="6"/>
      <c r="Q705" s="7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6"/>
      <c r="N706" s="7"/>
      <c r="O706" s="5"/>
      <c r="P706" s="6"/>
      <c r="Q706" s="7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6"/>
      <c r="N707" s="7"/>
      <c r="O707" s="5"/>
      <c r="P707" s="6"/>
      <c r="Q707" s="7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6"/>
      <c r="N708" s="7"/>
      <c r="O708" s="5"/>
      <c r="P708" s="6"/>
      <c r="Q708" s="7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6"/>
      <c r="N709" s="7"/>
      <c r="O709" s="5"/>
      <c r="P709" s="6"/>
      <c r="Q709" s="7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6"/>
      <c r="N710" s="7"/>
      <c r="O710" s="5"/>
      <c r="P710" s="6"/>
      <c r="Q710" s="7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6"/>
      <c r="N711" s="7"/>
      <c r="O711" s="5"/>
      <c r="P711" s="6"/>
      <c r="Q711" s="7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6"/>
      <c r="N712" s="7"/>
      <c r="O712" s="5"/>
      <c r="P712" s="6"/>
      <c r="Q712" s="7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6"/>
      <c r="N713" s="7"/>
      <c r="O713" s="5"/>
      <c r="P713" s="6"/>
      <c r="Q713" s="7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6"/>
      <c r="N714" s="7"/>
      <c r="O714" s="5"/>
      <c r="P714" s="6"/>
      <c r="Q714" s="7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6"/>
      <c r="N715" s="7"/>
      <c r="O715" s="5"/>
      <c r="P715" s="6"/>
      <c r="Q715" s="7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6"/>
      <c r="N716" s="7"/>
      <c r="O716" s="5"/>
      <c r="P716" s="6"/>
      <c r="Q716" s="7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6"/>
      <c r="N717" s="7"/>
      <c r="O717" s="5"/>
      <c r="P717" s="6"/>
      <c r="Q717" s="7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6"/>
      <c r="N718" s="7"/>
      <c r="O718" s="5"/>
      <c r="P718" s="6"/>
      <c r="Q718" s="7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6"/>
      <c r="N719" s="7"/>
      <c r="O719" s="5"/>
      <c r="P719" s="6"/>
      <c r="Q719" s="7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6"/>
      <c r="N720" s="7"/>
      <c r="O720" s="5"/>
      <c r="P720" s="6"/>
      <c r="Q720" s="7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6"/>
      <c r="N721" s="7"/>
      <c r="O721" s="5"/>
      <c r="P721" s="6"/>
      <c r="Q721" s="7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6"/>
      <c r="N722" s="7"/>
      <c r="O722" s="5"/>
      <c r="P722" s="6"/>
      <c r="Q722" s="7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6"/>
      <c r="N723" s="7"/>
      <c r="O723" s="5"/>
      <c r="P723" s="6"/>
      <c r="Q723" s="7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6"/>
      <c r="N724" s="7"/>
      <c r="O724" s="5"/>
      <c r="P724" s="6"/>
      <c r="Q724" s="7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6"/>
      <c r="N725" s="7"/>
      <c r="O725" s="5"/>
      <c r="P725" s="6"/>
      <c r="Q725" s="7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6"/>
      <c r="N726" s="7"/>
      <c r="O726" s="5"/>
      <c r="P726" s="6"/>
      <c r="Q726" s="7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6"/>
      <c r="N727" s="7"/>
      <c r="O727" s="5"/>
      <c r="P727" s="6"/>
      <c r="Q727" s="7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6"/>
      <c r="N728" s="7"/>
      <c r="O728" s="5"/>
      <c r="P728" s="6"/>
      <c r="Q728" s="7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6"/>
      <c r="N729" s="7"/>
      <c r="O729" s="5"/>
      <c r="P729" s="6"/>
      <c r="Q729" s="7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6"/>
      <c r="N730" s="7"/>
      <c r="O730" s="5"/>
      <c r="P730" s="6"/>
      <c r="Q730" s="7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6"/>
      <c r="N731" s="7"/>
      <c r="O731" s="5"/>
      <c r="P731" s="6"/>
      <c r="Q731" s="7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6"/>
      <c r="N732" s="7"/>
      <c r="O732" s="5"/>
      <c r="P732" s="6"/>
      <c r="Q732" s="7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6"/>
      <c r="N733" s="7"/>
      <c r="O733" s="5"/>
      <c r="P733" s="6"/>
      <c r="Q733" s="7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6"/>
      <c r="N734" s="7"/>
      <c r="O734" s="5"/>
      <c r="P734" s="6"/>
      <c r="Q734" s="7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6"/>
      <c r="N735" s="7"/>
      <c r="O735" s="5"/>
      <c r="P735" s="6"/>
      <c r="Q735" s="7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6"/>
      <c r="N736" s="7"/>
      <c r="O736" s="5"/>
      <c r="P736" s="6"/>
      <c r="Q736" s="7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6"/>
      <c r="N737" s="7"/>
      <c r="O737" s="5"/>
      <c r="P737" s="6"/>
      <c r="Q737" s="7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6"/>
      <c r="N738" s="7"/>
      <c r="O738" s="5"/>
      <c r="P738" s="6"/>
      <c r="Q738" s="7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6"/>
      <c r="N739" s="7"/>
      <c r="O739" s="5"/>
      <c r="P739" s="6"/>
      <c r="Q739" s="7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6"/>
      <c r="N740" s="7"/>
      <c r="O740" s="5"/>
      <c r="P740" s="6"/>
      <c r="Q740" s="7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6"/>
      <c r="N741" s="7"/>
      <c r="O741" s="5"/>
      <c r="P741" s="6"/>
      <c r="Q741" s="7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6"/>
      <c r="N742" s="7"/>
      <c r="O742" s="5"/>
      <c r="P742" s="6"/>
      <c r="Q742" s="7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6"/>
      <c r="N743" s="7"/>
      <c r="O743" s="5"/>
      <c r="P743" s="6"/>
      <c r="Q743" s="7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6"/>
      <c r="N744" s="7"/>
      <c r="O744" s="5"/>
      <c r="P744" s="6"/>
      <c r="Q744" s="7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6"/>
      <c r="N745" s="7"/>
      <c r="O745" s="5"/>
      <c r="P745" s="6"/>
      <c r="Q745" s="7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6"/>
      <c r="N746" s="7"/>
      <c r="O746" s="5"/>
      <c r="P746" s="6"/>
      <c r="Q746" s="7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6"/>
      <c r="N747" s="7"/>
      <c r="O747" s="5"/>
      <c r="P747" s="6"/>
      <c r="Q747" s="7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6"/>
      <c r="N748" s="7"/>
      <c r="O748" s="5"/>
      <c r="P748" s="6"/>
      <c r="Q748" s="7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6"/>
      <c r="N749" s="7"/>
      <c r="O749" s="5"/>
      <c r="P749" s="6"/>
      <c r="Q749" s="7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6"/>
      <c r="N750" s="7"/>
      <c r="O750" s="5"/>
      <c r="P750" s="6"/>
      <c r="Q750" s="7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6"/>
      <c r="N751" s="7"/>
      <c r="O751" s="5"/>
      <c r="P751" s="6"/>
      <c r="Q751" s="7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6"/>
      <c r="N752" s="7"/>
      <c r="O752" s="5"/>
      <c r="P752" s="6"/>
      <c r="Q752" s="7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6"/>
      <c r="N753" s="7"/>
      <c r="O753" s="5"/>
      <c r="P753" s="6"/>
      <c r="Q753" s="7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6"/>
      <c r="N754" s="7"/>
      <c r="O754" s="5"/>
      <c r="P754" s="6"/>
      <c r="Q754" s="7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6"/>
      <c r="N755" s="7"/>
      <c r="O755" s="5"/>
      <c r="P755" s="6"/>
      <c r="Q755" s="7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6"/>
      <c r="N756" s="7"/>
      <c r="O756" s="5"/>
      <c r="P756" s="6"/>
      <c r="Q756" s="7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6"/>
      <c r="N757" s="7"/>
      <c r="O757" s="5"/>
      <c r="P757" s="6"/>
      <c r="Q757" s="7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6"/>
      <c r="N758" s="7"/>
      <c r="O758" s="5"/>
      <c r="P758" s="6"/>
      <c r="Q758" s="7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6"/>
      <c r="N759" s="7"/>
      <c r="O759" s="5"/>
      <c r="P759" s="6"/>
      <c r="Q759" s="7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6"/>
      <c r="N760" s="7"/>
      <c r="O760" s="5"/>
      <c r="P760" s="6"/>
      <c r="Q760" s="7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6"/>
      <c r="N761" s="7"/>
      <c r="O761" s="5"/>
      <c r="P761" s="6"/>
      <c r="Q761" s="7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6"/>
      <c r="N762" s="7"/>
      <c r="O762" s="5"/>
      <c r="P762" s="6"/>
      <c r="Q762" s="7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6"/>
      <c r="N763" s="7"/>
      <c r="O763" s="5"/>
      <c r="P763" s="6"/>
      <c r="Q763" s="7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6"/>
      <c r="N764" s="7"/>
      <c r="O764" s="5"/>
      <c r="P764" s="6"/>
      <c r="Q764" s="7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6"/>
      <c r="N765" s="7"/>
      <c r="O765" s="5"/>
      <c r="P765" s="6"/>
      <c r="Q765" s="7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6"/>
      <c r="N766" s="7"/>
      <c r="O766" s="5"/>
      <c r="P766" s="6"/>
      <c r="Q766" s="7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6"/>
      <c r="N767" s="7"/>
      <c r="O767" s="5"/>
      <c r="P767" s="6"/>
      <c r="Q767" s="7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6"/>
      <c r="N768" s="7"/>
      <c r="O768" s="5"/>
      <c r="P768" s="6"/>
      <c r="Q768" s="7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6"/>
      <c r="N769" s="7"/>
      <c r="O769" s="5"/>
      <c r="P769" s="6"/>
      <c r="Q769" s="7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6"/>
      <c r="N770" s="7"/>
      <c r="O770" s="5"/>
      <c r="P770" s="6"/>
      <c r="Q770" s="7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6"/>
      <c r="N771" s="7"/>
      <c r="O771" s="5"/>
      <c r="P771" s="6"/>
      <c r="Q771" s="7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6"/>
      <c r="N772" s="7"/>
      <c r="O772" s="5"/>
      <c r="P772" s="6"/>
      <c r="Q772" s="7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6"/>
      <c r="N773" s="7"/>
      <c r="O773" s="5"/>
      <c r="P773" s="6"/>
      <c r="Q773" s="7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6"/>
      <c r="N774" s="7"/>
      <c r="O774" s="5"/>
      <c r="P774" s="6"/>
      <c r="Q774" s="7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6"/>
      <c r="N775" s="7"/>
      <c r="O775" s="5"/>
      <c r="P775" s="6"/>
      <c r="Q775" s="7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6"/>
      <c r="N776" s="7"/>
      <c r="O776" s="5"/>
      <c r="P776" s="6"/>
      <c r="Q776" s="7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6"/>
      <c r="N777" s="7"/>
      <c r="O777" s="5"/>
      <c r="P777" s="6"/>
      <c r="Q777" s="7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6"/>
      <c r="N778" s="7"/>
      <c r="O778" s="5"/>
      <c r="P778" s="6"/>
      <c r="Q778" s="7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6"/>
      <c r="N779" s="7"/>
      <c r="O779" s="5"/>
      <c r="P779" s="6"/>
      <c r="Q779" s="7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6"/>
      <c r="N780" s="7"/>
      <c r="O780" s="5"/>
      <c r="P780" s="6"/>
      <c r="Q780" s="7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6"/>
      <c r="N781" s="7"/>
      <c r="O781" s="5"/>
      <c r="P781" s="6"/>
      <c r="Q781" s="7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6"/>
      <c r="N782" s="7"/>
      <c r="O782" s="5"/>
      <c r="P782" s="6"/>
      <c r="Q782" s="7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6"/>
      <c r="N783" s="7"/>
      <c r="O783" s="5"/>
      <c r="P783" s="6"/>
      <c r="Q783" s="7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6"/>
      <c r="N784" s="7"/>
      <c r="O784" s="5"/>
      <c r="P784" s="6"/>
      <c r="Q784" s="7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6"/>
      <c r="N785" s="7"/>
      <c r="O785" s="5"/>
      <c r="P785" s="6"/>
      <c r="Q785" s="7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6"/>
      <c r="N786" s="7"/>
      <c r="O786" s="5"/>
      <c r="P786" s="6"/>
      <c r="Q786" s="7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6"/>
      <c r="N787" s="7"/>
      <c r="O787" s="5"/>
      <c r="P787" s="6"/>
      <c r="Q787" s="7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6"/>
      <c r="N788" s="7"/>
      <c r="O788" s="5"/>
      <c r="P788" s="6"/>
      <c r="Q788" s="7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6"/>
      <c r="N789" s="7"/>
      <c r="O789" s="5"/>
      <c r="P789" s="6"/>
      <c r="Q789" s="7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6"/>
      <c r="N790" s="7"/>
      <c r="O790" s="5"/>
      <c r="P790" s="6"/>
      <c r="Q790" s="7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6"/>
      <c r="N791" s="7"/>
      <c r="O791" s="5"/>
      <c r="P791" s="6"/>
      <c r="Q791" s="7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6"/>
      <c r="N792" s="7"/>
      <c r="O792" s="5"/>
      <c r="P792" s="6"/>
      <c r="Q792" s="7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6"/>
      <c r="N793" s="7"/>
      <c r="O793" s="5"/>
      <c r="P793" s="6"/>
      <c r="Q793" s="7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6"/>
      <c r="N794" s="7"/>
      <c r="O794" s="5"/>
      <c r="P794" s="6"/>
      <c r="Q794" s="7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6"/>
      <c r="N795" s="7"/>
      <c r="O795" s="5"/>
      <c r="P795" s="6"/>
      <c r="Q795" s="7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6"/>
      <c r="N796" s="7"/>
      <c r="O796" s="5"/>
      <c r="P796" s="6"/>
      <c r="Q796" s="7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6"/>
      <c r="N797" s="7"/>
      <c r="O797" s="5"/>
      <c r="P797" s="6"/>
      <c r="Q797" s="7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6"/>
      <c r="N798" s="7"/>
      <c r="O798" s="5"/>
      <c r="P798" s="6"/>
      <c r="Q798" s="7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6"/>
      <c r="N799" s="7"/>
      <c r="O799" s="5"/>
      <c r="P799" s="6"/>
      <c r="Q799" s="7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6"/>
      <c r="N800" s="7"/>
      <c r="O800" s="5"/>
      <c r="P800" s="6"/>
      <c r="Q800" s="7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6"/>
      <c r="N801" s="7"/>
      <c r="O801" s="5"/>
      <c r="P801" s="6"/>
      <c r="Q801" s="7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6"/>
      <c r="N802" s="7"/>
      <c r="O802" s="5"/>
      <c r="P802" s="6"/>
      <c r="Q802" s="7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6"/>
      <c r="N803" s="7"/>
      <c r="O803" s="5"/>
      <c r="P803" s="6"/>
      <c r="Q803" s="7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6"/>
      <c r="N804" s="7"/>
      <c r="O804" s="5"/>
      <c r="P804" s="6"/>
      <c r="Q804" s="7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6"/>
      <c r="N805" s="7"/>
      <c r="O805" s="5"/>
      <c r="P805" s="6"/>
      <c r="Q805" s="7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6"/>
      <c r="N806" s="7"/>
      <c r="O806" s="5"/>
      <c r="P806" s="6"/>
      <c r="Q806" s="7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6"/>
      <c r="N807" s="7"/>
      <c r="O807" s="5"/>
      <c r="P807" s="6"/>
      <c r="Q807" s="7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6"/>
      <c r="N808" s="7"/>
      <c r="O808" s="5"/>
      <c r="P808" s="6"/>
      <c r="Q808" s="7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6"/>
      <c r="N809" s="7"/>
      <c r="O809" s="5"/>
      <c r="P809" s="6"/>
      <c r="Q809" s="7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6"/>
      <c r="N810" s="7"/>
      <c r="O810" s="5"/>
      <c r="P810" s="6"/>
      <c r="Q810" s="7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6"/>
      <c r="N811" s="7"/>
      <c r="O811" s="5"/>
      <c r="P811" s="6"/>
      <c r="Q811" s="7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6"/>
      <c r="N812" s="7"/>
      <c r="O812" s="5"/>
      <c r="P812" s="6"/>
      <c r="Q812" s="7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6"/>
      <c r="N813" s="7"/>
      <c r="O813" s="5"/>
      <c r="P813" s="6"/>
      <c r="Q813" s="7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6"/>
      <c r="N814" s="7"/>
      <c r="O814" s="5"/>
      <c r="P814" s="6"/>
      <c r="Q814" s="7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6"/>
      <c r="N815" s="7"/>
      <c r="O815" s="5"/>
      <c r="P815" s="6"/>
      <c r="Q815" s="7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6"/>
      <c r="N816" s="7"/>
      <c r="O816" s="5"/>
      <c r="P816" s="6"/>
      <c r="Q816" s="7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6"/>
      <c r="N817" s="7"/>
      <c r="O817" s="5"/>
      <c r="P817" s="6"/>
      <c r="Q817" s="7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6"/>
      <c r="N818" s="7"/>
      <c r="O818" s="5"/>
      <c r="P818" s="6"/>
      <c r="Q818" s="7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6"/>
      <c r="N819" s="7"/>
      <c r="O819" s="5"/>
      <c r="P819" s="6"/>
      <c r="Q819" s="7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6"/>
      <c r="N820" s="7"/>
      <c r="O820" s="5"/>
      <c r="P820" s="6"/>
      <c r="Q820" s="7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6"/>
      <c r="N821" s="7"/>
      <c r="O821" s="5"/>
      <c r="P821" s="6"/>
      <c r="Q821" s="7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6"/>
      <c r="N822" s="7"/>
      <c r="O822" s="5"/>
      <c r="P822" s="6"/>
      <c r="Q822" s="7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6"/>
      <c r="N823" s="7"/>
      <c r="O823" s="5"/>
      <c r="P823" s="6"/>
      <c r="Q823" s="7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6"/>
      <c r="N824" s="7"/>
      <c r="O824" s="5"/>
      <c r="P824" s="6"/>
      <c r="Q824" s="7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6"/>
      <c r="N825" s="7"/>
      <c r="O825" s="5"/>
      <c r="P825" s="6"/>
      <c r="Q825" s="7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6"/>
      <c r="N826" s="7"/>
      <c r="O826" s="5"/>
      <c r="P826" s="6"/>
      <c r="Q826" s="7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6"/>
      <c r="N827" s="7"/>
      <c r="O827" s="5"/>
      <c r="P827" s="6"/>
      <c r="Q827" s="7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6"/>
      <c r="N828" s="7"/>
      <c r="O828" s="5"/>
      <c r="P828" s="6"/>
      <c r="Q828" s="7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6"/>
      <c r="N829" s="7"/>
      <c r="O829" s="5"/>
      <c r="P829" s="6"/>
      <c r="Q829" s="7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6"/>
      <c r="N830" s="7"/>
      <c r="O830" s="5"/>
      <c r="P830" s="6"/>
      <c r="Q830" s="7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6"/>
      <c r="N831" s="7"/>
      <c r="O831" s="5"/>
      <c r="P831" s="6"/>
      <c r="Q831" s="7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6"/>
      <c r="N832" s="7"/>
      <c r="O832" s="5"/>
      <c r="P832" s="6"/>
      <c r="Q832" s="7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6"/>
      <c r="N833" s="7"/>
      <c r="O833" s="5"/>
      <c r="P833" s="6"/>
      <c r="Q833" s="7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6"/>
      <c r="N834" s="7"/>
      <c r="O834" s="5"/>
      <c r="P834" s="6"/>
      <c r="Q834" s="7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6"/>
      <c r="N835" s="7"/>
      <c r="O835" s="5"/>
      <c r="P835" s="6"/>
      <c r="Q835" s="7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6"/>
      <c r="N836" s="7"/>
      <c r="O836" s="5"/>
      <c r="P836" s="6"/>
      <c r="Q836" s="7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6"/>
      <c r="N837" s="7"/>
      <c r="O837" s="5"/>
      <c r="P837" s="6"/>
      <c r="Q837" s="7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6"/>
      <c r="N838" s="7"/>
      <c r="O838" s="5"/>
      <c r="P838" s="6"/>
      <c r="Q838" s="7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6"/>
      <c r="N839" s="7"/>
      <c r="O839" s="5"/>
      <c r="P839" s="6"/>
      <c r="Q839" s="7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6"/>
      <c r="N840" s="7"/>
      <c r="O840" s="5"/>
      <c r="P840" s="6"/>
      <c r="Q840" s="7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6"/>
      <c r="N841" s="7"/>
      <c r="O841" s="5"/>
      <c r="P841" s="6"/>
      <c r="Q841" s="7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6"/>
      <c r="N842" s="7"/>
      <c r="O842" s="5"/>
      <c r="P842" s="6"/>
      <c r="Q842" s="7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6"/>
      <c r="N843" s="7"/>
      <c r="O843" s="5"/>
      <c r="P843" s="6"/>
      <c r="Q843" s="7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6"/>
      <c r="N844" s="7"/>
      <c r="O844" s="5"/>
      <c r="P844" s="6"/>
      <c r="Q844" s="7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6"/>
      <c r="N845" s="7"/>
      <c r="O845" s="5"/>
      <c r="P845" s="6"/>
      <c r="Q845" s="7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6"/>
      <c r="N846" s="7"/>
      <c r="O846" s="5"/>
      <c r="P846" s="6"/>
      <c r="Q846" s="7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6"/>
      <c r="N847" s="7"/>
      <c r="O847" s="5"/>
      <c r="P847" s="6"/>
      <c r="Q847" s="7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6"/>
      <c r="N848" s="7"/>
      <c r="O848" s="5"/>
      <c r="P848" s="6"/>
      <c r="Q848" s="7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6"/>
      <c r="N849" s="7"/>
      <c r="O849" s="5"/>
      <c r="P849" s="6"/>
      <c r="Q849" s="7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6"/>
      <c r="N850" s="7"/>
      <c r="O850" s="5"/>
      <c r="P850" s="6"/>
      <c r="Q850" s="7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6"/>
      <c r="N851" s="7"/>
      <c r="O851" s="5"/>
      <c r="P851" s="6"/>
      <c r="Q851" s="7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6"/>
      <c r="N852" s="7"/>
      <c r="O852" s="5"/>
      <c r="P852" s="6"/>
      <c r="Q852" s="7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6"/>
      <c r="N853" s="7"/>
      <c r="O853" s="5"/>
      <c r="P853" s="6"/>
      <c r="Q853" s="7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6"/>
      <c r="N854" s="7"/>
      <c r="O854" s="5"/>
      <c r="P854" s="6"/>
      <c r="Q854" s="7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6"/>
      <c r="N855" s="7"/>
      <c r="O855" s="5"/>
      <c r="P855" s="6"/>
      <c r="Q855" s="7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6"/>
      <c r="N856" s="7"/>
      <c r="O856" s="5"/>
      <c r="P856" s="6"/>
      <c r="Q856" s="7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6"/>
      <c r="N857" s="7"/>
      <c r="O857" s="5"/>
      <c r="P857" s="6"/>
      <c r="Q857" s="7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6"/>
      <c r="N858" s="7"/>
      <c r="O858" s="5"/>
      <c r="P858" s="6"/>
      <c r="Q858" s="7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6"/>
      <c r="N859" s="7"/>
      <c r="O859" s="5"/>
      <c r="P859" s="6"/>
      <c r="Q859" s="7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6"/>
      <c r="N860" s="7"/>
      <c r="O860" s="5"/>
      <c r="P860" s="6"/>
      <c r="Q860" s="7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6"/>
      <c r="N861" s="7"/>
      <c r="O861" s="5"/>
      <c r="P861" s="6"/>
      <c r="Q861" s="7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6"/>
      <c r="N862" s="7"/>
      <c r="O862" s="5"/>
      <c r="P862" s="6"/>
      <c r="Q862" s="7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6"/>
      <c r="N863" s="7"/>
      <c r="O863" s="5"/>
      <c r="P863" s="6"/>
      <c r="Q863" s="7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6"/>
      <c r="N864" s="7"/>
      <c r="O864" s="5"/>
      <c r="P864" s="6"/>
      <c r="Q864" s="7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6"/>
      <c r="N865" s="7"/>
      <c r="O865" s="5"/>
      <c r="P865" s="6"/>
      <c r="Q865" s="7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6"/>
      <c r="N866" s="7"/>
      <c r="O866" s="5"/>
      <c r="P866" s="6"/>
      <c r="Q866" s="7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6"/>
      <c r="N867" s="7"/>
      <c r="O867" s="5"/>
      <c r="P867" s="6"/>
      <c r="Q867" s="7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6"/>
      <c r="N868" s="7"/>
      <c r="O868" s="5"/>
      <c r="P868" s="6"/>
      <c r="Q868" s="7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6"/>
      <c r="N869" s="7"/>
      <c r="O869" s="5"/>
      <c r="P869" s="6"/>
      <c r="Q869" s="7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6"/>
      <c r="N870" s="7"/>
      <c r="O870" s="5"/>
      <c r="P870" s="6"/>
      <c r="Q870" s="7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6"/>
      <c r="N871" s="7"/>
      <c r="O871" s="5"/>
      <c r="P871" s="6"/>
      <c r="Q871" s="7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6"/>
      <c r="N872" s="7"/>
      <c r="O872" s="5"/>
      <c r="P872" s="6"/>
      <c r="Q872" s="7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6"/>
      <c r="N873" s="7"/>
      <c r="O873" s="5"/>
      <c r="P873" s="6"/>
      <c r="Q873" s="7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6"/>
      <c r="N874" s="7"/>
      <c r="O874" s="5"/>
      <c r="P874" s="6"/>
      <c r="Q874" s="7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6"/>
      <c r="N875" s="7"/>
      <c r="O875" s="5"/>
      <c r="P875" s="6"/>
      <c r="Q875" s="7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6"/>
      <c r="N876" s="7"/>
      <c r="O876" s="5"/>
      <c r="P876" s="6"/>
      <c r="Q876" s="7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6"/>
      <c r="N877" s="7"/>
      <c r="O877" s="5"/>
      <c r="P877" s="6"/>
      <c r="Q877" s="7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6"/>
      <c r="N878" s="7"/>
      <c r="O878" s="5"/>
      <c r="P878" s="6"/>
      <c r="Q878" s="7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6"/>
      <c r="N879" s="7"/>
      <c r="O879" s="5"/>
      <c r="P879" s="6"/>
      <c r="Q879" s="7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6"/>
      <c r="N880" s="7"/>
      <c r="O880" s="5"/>
      <c r="P880" s="6"/>
      <c r="Q880" s="7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6"/>
      <c r="N881" s="7"/>
      <c r="O881" s="5"/>
      <c r="P881" s="6"/>
      <c r="Q881" s="7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6"/>
      <c r="N882" s="7"/>
      <c r="O882" s="5"/>
      <c r="P882" s="6"/>
      <c r="Q882" s="7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6"/>
      <c r="N883" s="7"/>
      <c r="O883" s="5"/>
      <c r="P883" s="6"/>
      <c r="Q883" s="7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6"/>
      <c r="N884" s="7"/>
      <c r="O884" s="5"/>
      <c r="P884" s="6"/>
      <c r="Q884" s="7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6"/>
      <c r="N885" s="7"/>
      <c r="O885" s="5"/>
      <c r="P885" s="6"/>
      <c r="Q885" s="7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6"/>
      <c r="N886" s="7"/>
      <c r="O886" s="5"/>
      <c r="P886" s="6"/>
      <c r="Q886" s="7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6"/>
      <c r="N887" s="7"/>
      <c r="O887" s="5"/>
      <c r="P887" s="6"/>
      <c r="Q887" s="7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6"/>
      <c r="N888" s="7"/>
      <c r="O888" s="5"/>
      <c r="P888" s="6"/>
      <c r="Q888" s="7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6"/>
      <c r="N889" s="7"/>
      <c r="O889" s="5"/>
      <c r="P889" s="6"/>
      <c r="Q889" s="7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6"/>
      <c r="N890" s="7"/>
      <c r="O890" s="5"/>
      <c r="P890" s="6"/>
      <c r="Q890" s="7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6"/>
      <c r="N891" s="7"/>
      <c r="O891" s="5"/>
      <c r="P891" s="6"/>
      <c r="Q891" s="7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6"/>
      <c r="N892" s="7"/>
      <c r="O892" s="5"/>
      <c r="P892" s="6"/>
      <c r="Q892" s="7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6"/>
      <c r="N893" s="7"/>
      <c r="O893" s="5"/>
      <c r="P893" s="6"/>
      <c r="Q893" s="7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6"/>
      <c r="N894" s="7"/>
      <c r="O894" s="5"/>
      <c r="P894" s="6"/>
      <c r="Q894" s="7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6"/>
      <c r="N895" s="7"/>
      <c r="O895" s="5"/>
      <c r="P895" s="6"/>
      <c r="Q895" s="7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6"/>
      <c r="N896" s="7"/>
      <c r="O896" s="5"/>
      <c r="P896" s="6"/>
      <c r="Q896" s="7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6"/>
      <c r="N897" s="7"/>
      <c r="O897" s="5"/>
      <c r="P897" s="6"/>
      <c r="Q897" s="7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6"/>
      <c r="N898" s="7"/>
      <c r="O898" s="5"/>
      <c r="P898" s="6"/>
      <c r="Q898" s="7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6"/>
      <c r="N899" s="7"/>
      <c r="O899" s="5"/>
      <c r="P899" s="6"/>
      <c r="Q899" s="7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6"/>
      <c r="N900" s="7"/>
      <c r="O900" s="5"/>
      <c r="P900" s="6"/>
      <c r="Q900" s="7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6"/>
      <c r="N901" s="7"/>
      <c r="O901" s="5"/>
      <c r="P901" s="6"/>
      <c r="Q901" s="7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6"/>
      <c r="N902" s="7"/>
      <c r="O902" s="5"/>
      <c r="P902" s="6"/>
      <c r="Q902" s="7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6"/>
      <c r="N903" s="7"/>
      <c r="O903" s="5"/>
      <c r="P903" s="6"/>
      <c r="Q903" s="7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6"/>
      <c r="N904" s="7"/>
      <c r="O904" s="5"/>
      <c r="P904" s="6"/>
      <c r="Q904" s="7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6"/>
      <c r="N905" s="7"/>
      <c r="O905" s="5"/>
      <c r="P905" s="6"/>
      <c r="Q905" s="7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6"/>
      <c r="N906" s="7"/>
      <c r="O906" s="5"/>
      <c r="P906" s="6"/>
      <c r="Q906" s="7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6"/>
      <c r="N907" s="7"/>
      <c r="O907" s="5"/>
      <c r="P907" s="6"/>
      <c r="Q907" s="7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6"/>
      <c r="N908" s="7"/>
      <c r="O908" s="5"/>
      <c r="P908" s="6"/>
      <c r="Q908" s="7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6"/>
      <c r="N909" s="7"/>
      <c r="O909" s="5"/>
      <c r="P909" s="6"/>
      <c r="Q909" s="7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6"/>
      <c r="N910" s="7"/>
      <c r="O910" s="5"/>
      <c r="P910" s="6"/>
      <c r="Q910" s="7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6"/>
      <c r="N911" s="7"/>
      <c r="O911" s="5"/>
      <c r="P911" s="6"/>
      <c r="Q911" s="7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6"/>
      <c r="N912" s="7"/>
      <c r="O912" s="5"/>
      <c r="P912" s="6"/>
      <c r="Q912" s="7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6"/>
      <c r="N913" s="7"/>
      <c r="O913" s="5"/>
      <c r="P913" s="6"/>
      <c r="Q913" s="7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6"/>
      <c r="N914" s="7"/>
      <c r="O914" s="5"/>
      <c r="P914" s="6"/>
      <c r="Q914" s="7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6"/>
      <c r="N915" s="7"/>
      <c r="O915" s="5"/>
      <c r="P915" s="6"/>
      <c r="Q915" s="7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6"/>
      <c r="N916" s="7"/>
      <c r="O916" s="5"/>
      <c r="P916" s="6"/>
      <c r="Q916" s="7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6"/>
      <c r="N917" s="7"/>
      <c r="O917" s="5"/>
      <c r="P917" s="6"/>
      <c r="Q917" s="7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6"/>
      <c r="N918" s="7"/>
      <c r="O918" s="5"/>
      <c r="P918" s="6"/>
      <c r="Q918" s="7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6"/>
      <c r="N919" s="7"/>
      <c r="O919" s="5"/>
      <c r="P919" s="6"/>
      <c r="Q919" s="7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6"/>
      <c r="N920" s="7"/>
      <c r="O920" s="5"/>
      <c r="P920" s="6"/>
      <c r="Q920" s="7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6"/>
      <c r="N921" s="7"/>
      <c r="O921" s="5"/>
      <c r="P921" s="6"/>
      <c r="Q921" s="7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6"/>
      <c r="N922" s="7"/>
      <c r="O922" s="5"/>
      <c r="P922" s="6"/>
      <c r="Q922" s="7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6"/>
      <c r="N923" s="7"/>
      <c r="O923" s="5"/>
      <c r="P923" s="6"/>
      <c r="Q923" s="7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6"/>
      <c r="N924" s="7"/>
      <c r="O924" s="5"/>
      <c r="P924" s="6"/>
      <c r="Q924" s="7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6"/>
      <c r="N925" s="7"/>
      <c r="O925" s="5"/>
      <c r="P925" s="6"/>
      <c r="Q925" s="7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6"/>
      <c r="N926" s="7"/>
      <c r="O926" s="5"/>
      <c r="P926" s="6"/>
      <c r="Q926" s="7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6"/>
      <c r="N927" s="7"/>
      <c r="O927" s="5"/>
      <c r="P927" s="6"/>
      <c r="Q927" s="7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6"/>
      <c r="N928" s="7"/>
      <c r="O928" s="5"/>
      <c r="P928" s="6"/>
      <c r="Q928" s="7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6"/>
      <c r="N929" s="7"/>
      <c r="O929" s="5"/>
      <c r="P929" s="6"/>
      <c r="Q929" s="7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6"/>
      <c r="N930" s="7"/>
      <c r="O930" s="5"/>
      <c r="P930" s="6"/>
      <c r="Q930" s="7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6"/>
      <c r="N931" s="7"/>
      <c r="O931" s="5"/>
      <c r="P931" s="6"/>
      <c r="Q931" s="7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6"/>
      <c r="N932" s="7"/>
      <c r="O932" s="5"/>
      <c r="P932" s="6"/>
      <c r="Q932" s="7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6"/>
      <c r="N933" s="7"/>
      <c r="O933" s="5"/>
      <c r="P933" s="6"/>
      <c r="Q933" s="7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6"/>
      <c r="N934" s="7"/>
      <c r="O934" s="5"/>
      <c r="P934" s="6"/>
      <c r="Q934" s="7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6"/>
      <c r="N935" s="7"/>
      <c r="O935" s="5"/>
      <c r="P935" s="6"/>
      <c r="Q935" s="7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6"/>
      <c r="N936" s="7"/>
      <c r="O936" s="5"/>
      <c r="P936" s="6"/>
      <c r="Q936" s="7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6"/>
      <c r="N937" s="7"/>
      <c r="O937" s="5"/>
      <c r="P937" s="6"/>
      <c r="Q937" s="7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6"/>
      <c r="N938" s="7"/>
      <c r="O938" s="5"/>
      <c r="P938" s="6"/>
      <c r="Q938" s="7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6"/>
      <c r="N939" s="7"/>
      <c r="O939" s="5"/>
      <c r="P939" s="6"/>
      <c r="Q939" s="7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6"/>
      <c r="N940" s="7"/>
      <c r="O940" s="5"/>
      <c r="P940" s="6"/>
      <c r="Q940" s="7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6"/>
      <c r="N941" s="7"/>
      <c r="O941" s="5"/>
      <c r="P941" s="6"/>
      <c r="Q941" s="7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6"/>
      <c r="N942" s="7"/>
      <c r="O942" s="5"/>
      <c r="P942" s="6"/>
      <c r="Q942" s="7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6"/>
      <c r="N943" s="7"/>
      <c r="O943" s="5"/>
      <c r="P943" s="6"/>
      <c r="Q943" s="7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6"/>
      <c r="N944" s="7"/>
      <c r="O944" s="5"/>
      <c r="P944" s="6"/>
      <c r="Q944" s="7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6"/>
      <c r="N945" s="7"/>
      <c r="O945" s="5"/>
      <c r="P945" s="6"/>
      <c r="Q945" s="7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6"/>
      <c r="N946" s="7"/>
      <c r="O946" s="5"/>
      <c r="P946" s="6"/>
      <c r="Q946" s="7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6"/>
      <c r="N947" s="7"/>
      <c r="O947" s="5"/>
      <c r="P947" s="6"/>
      <c r="Q947" s="7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6"/>
      <c r="N948" s="7"/>
      <c r="O948" s="5"/>
      <c r="P948" s="6"/>
      <c r="Q948" s="7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6"/>
      <c r="N949" s="7"/>
      <c r="O949" s="5"/>
      <c r="P949" s="6"/>
      <c r="Q949" s="7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6"/>
      <c r="N950" s="7"/>
      <c r="O950" s="5"/>
      <c r="P950" s="6"/>
      <c r="Q950" s="7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6"/>
      <c r="N951" s="7"/>
      <c r="O951" s="5"/>
      <c r="P951" s="6"/>
      <c r="Q951" s="7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6"/>
      <c r="N952" s="7"/>
      <c r="O952" s="5"/>
      <c r="P952" s="6"/>
      <c r="Q952" s="7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6"/>
      <c r="N953" s="7"/>
      <c r="O953" s="5"/>
      <c r="P953" s="6"/>
      <c r="Q953" s="7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6"/>
      <c r="N954" s="7"/>
      <c r="O954" s="5"/>
      <c r="P954" s="6"/>
      <c r="Q954" s="7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6"/>
      <c r="N955" s="7"/>
      <c r="O955" s="5"/>
      <c r="P955" s="6"/>
      <c r="Q955" s="7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6"/>
      <c r="N956" s="7"/>
      <c r="O956" s="5"/>
      <c r="P956" s="6"/>
      <c r="Q956" s="7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6"/>
      <c r="N957" s="7"/>
      <c r="O957" s="5"/>
      <c r="P957" s="6"/>
      <c r="Q957" s="7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6"/>
      <c r="N958" s="7"/>
      <c r="O958" s="5"/>
      <c r="P958" s="6"/>
      <c r="Q958" s="7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6"/>
      <c r="N959" s="7"/>
      <c r="O959" s="5"/>
      <c r="P959" s="6"/>
      <c r="Q959" s="7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6"/>
      <c r="N960" s="7"/>
      <c r="O960" s="5"/>
      <c r="P960" s="6"/>
      <c r="Q960" s="7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6"/>
      <c r="N961" s="7"/>
      <c r="O961" s="5"/>
      <c r="P961" s="6"/>
      <c r="Q961" s="7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6"/>
      <c r="N962" s="7"/>
      <c r="O962" s="5"/>
      <c r="P962" s="6"/>
      <c r="Q962" s="7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6"/>
      <c r="N963" s="7"/>
      <c r="O963" s="5"/>
      <c r="P963" s="6"/>
      <c r="Q963" s="7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6"/>
      <c r="N964" s="7"/>
      <c r="O964" s="5"/>
      <c r="P964" s="6"/>
      <c r="Q964" s="7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6"/>
      <c r="N965" s="7"/>
      <c r="O965" s="5"/>
      <c r="P965" s="6"/>
      <c r="Q965" s="7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6"/>
      <c r="N966" s="7"/>
      <c r="O966" s="5"/>
      <c r="P966" s="6"/>
      <c r="Q966" s="7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6"/>
      <c r="N967" s="7"/>
      <c r="O967" s="5"/>
      <c r="P967" s="6"/>
      <c r="Q967" s="7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6"/>
      <c r="N968" s="7"/>
      <c r="O968" s="5"/>
      <c r="P968" s="6"/>
      <c r="Q968" s="7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6"/>
      <c r="N969" s="7"/>
      <c r="O969" s="5"/>
      <c r="P969" s="6"/>
      <c r="Q969" s="7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6"/>
      <c r="N970" s="7"/>
      <c r="O970" s="5"/>
      <c r="P970" s="6"/>
      <c r="Q970" s="7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6"/>
      <c r="N971" s="7"/>
      <c r="O971" s="5"/>
      <c r="P971" s="6"/>
      <c r="Q971" s="7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6"/>
      <c r="N972" s="7"/>
      <c r="O972" s="5"/>
      <c r="P972" s="6"/>
      <c r="Q972" s="7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6"/>
      <c r="N973" s="7"/>
      <c r="O973" s="5"/>
      <c r="P973" s="6"/>
      <c r="Q973" s="7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6"/>
      <c r="N974" s="7"/>
      <c r="O974" s="5"/>
      <c r="P974" s="6"/>
      <c r="Q974" s="7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6"/>
      <c r="N975" s="7"/>
      <c r="O975" s="5"/>
      <c r="P975" s="6"/>
      <c r="Q975" s="7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6"/>
      <c r="N976" s="7"/>
      <c r="O976" s="5"/>
      <c r="P976" s="6"/>
      <c r="Q976" s="7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6"/>
      <c r="N977" s="7"/>
      <c r="O977" s="5"/>
      <c r="P977" s="6"/>
      <c r="Q977" s="7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6"/>
      <c r="N978" s="7"/>
      <c r="O978" s="5"/>
      <c r="P978" s="6"/>
      <c r="Q978" s="7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6"/>
      <c r="N979" s="7"/>
      <c r="O979" s="5"/>
      <c r="P979" s="6"/>
      <c r="Q979" s="7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6"/>
      <c r="N980" s="7"/>
      <c r="O980" s="5"/>
      <c r="P980" s="6"/>
      <c r="Q980" s="7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6"/>
      <c r="N981" s="7"/>
      <c r="O981" s="5"/>
      <c r="P981" s="6"/>
      <c r="Q981" s="7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6"/>
      <c r="N982" s="7"/>
      <c r="O982" s="5"/>
      <c r="P982" s="6"/>
      <c r="Q982" s="7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6"/>
      <c r="N983" s="7"/>
      <c r="O983" s="5"/>
      <c r="P983" s="6"/>
      <c r="Q983" s="7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6"/>
      <c r="N984" s="7"/>
      <c r="O984" s="5"/>
      <c r="P984" s="6"/>
      <c r="Q984" s="7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6"/>
      <c r="N985" s="7"/>
      <c r="O985" s="5"/>
      <c r="P985" s="6"/>
      <c r="Q985" s="7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6"/>
      <c r="N986" s="7"/>
      <c r="O986" s="5"/>
      <c r="P986" s="6"/>
      <c r="Q986" s="7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6"/>
      <c r="N987" s="7"/>
      <c r="O987" s="5"/>
      <c r="P987" s="6"/>
      <c r="Q987" s="7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6"/>
      <c r="N988" s="7"/>
      <c r="O988" s="5"/>
      <c r="P988" s="6"/>
      <c r="Q988" s="7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6"/>
      <c r="N989" s="7"/>
      <c r="O989" s="5"/>
      <c r="P989" s="6"/>
      <c r="Q989" s="7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6"/>
      <c r="N990" s="7"/>
      <c r="O990" s="5"/>
      <c r="P990" s="6"/>
      <c r="Q990" s="7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6"/>
      <c r="N991" s="7"/>
      <c r="O991" s="5"/>
      <c r="P991" s="6"/>
      <c r="Q991" s="7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6"/>
      <c r="N992" s="7"/>
      <c r="O992" s="5"/>
      <c r="P992" s="6"/>
      <c r="Q992" s="7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6"/>
      <c r="N993" s="7"/>
      <c r="O993" s="5"/>
      <c r="P993" s="6"/>
      <c r="Q993" s="7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6"/>
      <c r="N994" s="7"/>
      <c r="O994" s="5"/>
      <c r="P994" s="6"/>
      <c r="Q994" s="7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6"/>
      <c r="N995" s="7"/>
      <c r="O995" s="5"/>
      <c r="P995" s="6"/>
      <c r="Q995" s="7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6"/>
      <c r="N996" s="7"/>
      <c r="O996" s="5"/>
      <c r="P996" s="6"/>
      <c r="Q996" s="7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6"/>
      <c r="N997" s="7"/>
      <c r="O997" s="5"/>
      <c r="P997" s="6"/>
      <c r="Q997" s="7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6"/>
      <c r="N998" s="7"/>
      <c r="O998" s="5"/>
      <c r="P998" s="6"/>
      <c r="Q998" s="7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6"/>
      <c r="N999" s="7"/>
      <c r="O999" s="5"/>
      <c r="P999" s="6"/>
      <c r="Q999" s="7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6"/>
      <c r="N1000" s="7"/>
      <c r="O1000" s="5"/>
      <c r="P1000" s="6"/>
      <c r="Q1000" s="7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6"/>
      <c r="N1001" s="7"/>
      <c r="O1001" s="5"/>
      <c r="P1001" s="6"/>
      <c r="Q1001" s="7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6"/>
      <c r="N1002" s="7"/>
      <c r="O1002" s="5"/>
      <c r="P1002" s="6"/>
      <c r="Q1002" s="7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6"/>
      <c r="N1003" s="7"/>
      <c r="O1003" s="5"/>
      <c r="P1003" s="6"/>
      <c r="Q1003" s="7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6"/>
      <c r="N1004" s="7"/>
      <c r="O1004" s="5"/>
      <c r="P1004" s="6"/>
      <c r="Q1004" s="7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6"/>
      <c r="N1005" s="7"/>
      <c r="O1005" s="5"/>
      <c r="P1005" s="6"/>
      <c r="Q1005" s="7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6"/>
      <c r="N1006" s="7"/>
      <c r="O1006" s="5"/>
      <c r="P1006" s="6"/>
      <c r="Q1006" s="7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6"/>
      <c r="N1007" s="7"/>
      <c r="O1007" s="5"/>
      <c r="P1007" s="6"/>
      <c r="Q1007" s="7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6"/>
      <c r="N1008" s="7"/>
      <c r="O1008" s="5"/>
      <c r="P1008" s="6"/>
      <c r="Q1008" s="7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6"/>
      <c r="N1009" s="7"/>
      <c r="O1009" s="5"/>
      <c r="P1009" s="6"/>
      <c r="Q1009" s="7"/>
      <c r="R1009" s="5"/>
      <c r="S1009" s="5"/>
      <c r="T1009" s="5"/>
      <c r="U1009" s="5"/>
      <c r="V1009" s="5"/>
      <c r="W1009" s="5"/>
      <c r="X1009" s="5"/>
      <c r="Y1009" s="5"/>
      <c r="Z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6"/>
      <c r="N1010" s="7"/>
      <c r="O1010" s="5"/>
      <c r="P1010" s="6"/>
      <c r="Q1010" s="7"/>
      <c r="R1010" s="5"/>
      <c r="S1010" s="5"/>
      <c r="T1010" s="5"/>
      <c r="U1010" s="5"/>
      <c r="V1010" s="5"/>
      <c r="W1010" s="5"/>
      <c r="X1010" s="5"/>
      <c r="Y1010" s="5"/>
      <c r="Z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6"/>
      <c r="N1011" s="7"/>
      <c r="O1011" s="5"/>
      <c r="P1011" s="6"/>
      <c r="Q1011" s="7"/>
      <c r="R1011" s="5"/>
      <c r="S1011" s="5"/>
      <c r="T1011" s="5"/>
      <c r="U1011" s="5"/>
      <c r="V1011" s="5"/>
      <c r="W1011" s="5"/>
      <c r="X1011" s="5"/>
      <c r="Y1011" s="5"/>
      <c r="Z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6"/>
      <c r="N1012" s="7"/>
      <c r="O1012" s="5"/>
      <c r="P1012" s="6"/>
      <c r="Q1012" s="7"/>
      <c r="R1012" s="5"/>
      <c r="S1012" s="5"/>
      <c r="T1012" s="5"/>
      <c r="U1012" s="5"/>
      <c r="V1012" s="5"/>
      <c r="W1012" s="5"/>
      <c r="X1012" s="5"/>
      <c r="Y1012" s="5"/>
      <c r="Z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6"/>
      <c r="N1013" s="7"/>
      <c r="O1013" s="5"/>
      <c r="P1013" s="6"/>
      <c r="Q1013" s="7"/>
      <c r="R1013" s="5"/>
      <c r="S1013" s="5"/>
      <c r="T1013" s="5"/>
      <c r="U1013" s="5"/>
      <c r="V1013" s="5"/>
      <c r="W1013" s="5"/>
      <c r="X1013" s="5"/>
      <c r="Y1013" s="5"/>
      <c r="Z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6"/>
      <c r="N1014" s="7"/>
      <c r="O1014" s="5"/>
      <c r="P1014" s="6"/>
      <c r="Q1014" s="7"/>
      <c r="R1014" s="5"/>
      <c r="S1014" s="5"/>
      <c r="T1014" s="5"/>
      <c r="U1014" s="5"/>
      <c r="V1014" s="5"/>
      <c r="W1014" s="5"/>
      <c r="X1014" s="5"/>
      <c r="Y1014" s="5"/>
      <c r="Z1014" s="5"/>
    </row>
  </sheetData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13"/>
    <col customWidth="1" min="3" max="3" width="8.75"/>
    <col customWidth="1" min="4" max="4" width="9.0"/>
    <col customWidth="1" min="5" max="5" width="18.38"/>
    <col customWidth="1" min="6" max="6" width="16.25"/>
    <col customWidth="1" min="7" max="7" width="20.13"/>
    <col customWidth="1" min="8" max="8" width="18.13"/>
    <col customWidth="1" min="9" max="9" width="9.38"/>
    <col customWidth="1" min="10" max="10" width="15.5"/>
  </cols>
  <sheetData>
    <row r="2">
      <c r="B2" s="29" t="s">
        <v>36</v>
      </c>
    </row>
    <row r="3">
      <c r="B3" s="30" t="str">
        <f>'_synced_data'!C$1</f>
        <v>Distance</v>
      </c>
      <c r="C3" s="30" t="str">
        <f>'_synced_data'!D$1</f>
        <v>GPS Load</v>
      </c>
      <c r="D3" s="30" t="str">
        <f>'_synced_data'!E$1</f>
        <v>Top Speed</v>
      </c>
      <c r="E3" s="30" t="str">
        <f>'_synced_data'!F$1</f>
        <v>Speed Zones  Distance</v>
      </c>
      <c r="F3" s="30" t="str">
        <f>'_synced_data'!G$1</f>
        <v>Speed Zones  Count</v>
      </c>
      <c r="G3" s="30" t="str">
        <f>'_synced_data'!H$1</f>
        <v>Personal Bands  Distance</v>
      </c>
      <c r="H3" s="30" t="str">
        <f>'_synced_data'!I$1</f>
        <v>Personal Bands  Count</v>
      </c>
      <c r="I3" s="30" t="str">
        <f>'_synced_data'!J$1</f>
        <v>Peak Accel</v>
      </c>
      <c r="J3" s="30" t="str">
        <f>'_synced_data'!K$1</f>
        <v>Accel Zones  Count</v>
      </c>
    </row>
    <row r="4">
      <c r="B4" s="3">
        <f>ROUND(AVERAGE('_synced_data'!C$2:C1000),1)</f>
        <v>4</v>
      </c>
      <c r="C4" s="3">
        <f>ROUND(AVERAGE('_synced_data'!D$2:D1000),1)</f>
        <v>117</v>
      </c>
      <c r="D4" s="3">
        <f>ROUND(AVERAGE('_synced_data'!E$2:E1000),1)</f>
        <v>16.7</v>
      </c>
      <c r="E4" s="3">
        <f>ROUND(AVERAGE('_synced_data'!F$2:F1000),1)</f>
        <v>39.1</v>
      </c>
      <c r="F4" s="3">
        <f>ROUND(AVERAGE('_synced_data'!G$2:G1000),1)</f>
        <v>3.6</v>
      </c>
      <c r="G4" s="3">
        <f>ROUND(AVERAGE('_synced_data'!H$2:H1000),1)</f>
        <v>317.8</v>
      </c>
      <c r="H4" s="3">
        <f>ROUND(AVERAGE('_synced_data'!I$2:I1000),1)</f>
        <v>15.1</v>
      </c>
      <c r="I4" s="3">
        <f>ROUND(AVERAGE('_synced_data'!J$2:J1000),1)</f>
        <v>4.8</v>
      </c>
      <c r="J4" s="3">
        <f>ROUND(AVERAGE('_synced_data'!K$2:K1000),1)</f>
        <v>4.8</v>
      </c>
    </row>
    <row r="7">
      <c r="B7" s="29" t="s">
        <v>37</v>
      </c>
    </row>
    <row r="8">
      <c r="B8" s="30" t="str">
        <f>'_synced_data'!C$1</f>
        <v>Distance</v>
      </c>
      <c r="C8" s="30" t="str">
        <f>'_synced_data'!D$1</f>
        <v>GPS Load</v>
      </c>
      <c r="E8" s="30" t="str">
        <f>'_synced_data'!F$1</f>
        <v>Speed Zones  Distance</v>
      </c>
      <c r="F8" s="30" t="str">
        <f>'_synced_data'!G$1</f>
        <v>Speed Zones  Count</v>
      </c>
      <c r="G8" s="30" t="str">
        <f>'_synced_data'!H$1</f>
        <v>Personal Bands  Distance</v>
      </c>
      <c r="H8" s="30" t="str">
        <f>'_synced_data'!I$1</f>
        <v>Personal Bands  Count</v>
      </c>
      <c r="J8" s="30" t="str">
        <f>'_synced_data'!K$1</f>
        <v>Accel Zones  Count</v>
      </c>
    </row>
    <row r="9">
      <c r="B9" s="3">
        <f>ROUND(SUM('_synced_data'!C$2:C1000),1)</f>
        <v>182.7</v>
      </c>
      <c r="C9" s="3">
        <f>ROUND(SUM('_synced_data'!D$2:D1000),1)</f>
        <v>5381.8</v>
      </c>
      <c r="E9" s="3">
        <f>ROUND(SUM('_synced_data'!F$2:F1000),1)</f>
        <v>1799.7</v>
      </c>
      <c r="F9" s="3">
        <f>ROUND(SUM('_synced_data'!G$2:G1000),1)</f>
        <v>164</v>
      </c>
      <c r="G9" s="3">
        <f>ROUND(SUM('_synced_data'!H$2:H1000),1)</f>
        <v>14620.4</v>
      </c>
      <c r="H9" s="3">
        <f>ROUND(SUM('_synced_data'!I$2:I1000),1)</f>
        <v>694</v>
      </c>
      <c r="J9" s="3">
        <f>ROUND(SUM('_synced_data'!K$2:K1000),1)</f>
        <v>221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25"/>
    <col customWidth="1" min="11" max="11" width="20.63"/>
    <col customWidth="1" min="13" max="13" width="24.75"/>
    <col customWidth="1" min="14" max="14" width="3.88"/>
  </cols>
  <sheetData>
    <row r="1">
      <c r="A1" s="31" t="s">
        <v>38</v>
      </c>
    </row>
    <row r="7" ht="6.0" customHeight="1">
      <c r="A7" s="32"/>
      <c r="B7" s="32"/>
      <c r="C7" s="32"/>
      <c r="D7" s="32"/>
      <c r="E7" s="32"/>
      <c r="F7" s="32"/>
      <c r="G7" s="33"/>
      <c r="H7" s="33"/>
      <c r="I7" s="33"/>
      <c r="J7" s="32"/>
      <c r="K7" s="32"/>
      <c r="L7" s="33"/>
      <c r="M7" s="33"/>
      <c r="N7" s="32"/>
    </row>
    <row r="8" ht="15.0" customHeight="1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</row>
    <row r="9">
      <c r="A9" s="35"/>
      <c r="B9" s="36" t="s">
        <v>39</v>
      </c>
      <c r="C9" s="37"/>
      <c r="D9" s="38" t="s">
        <v>40</v>
      </c>
      <c r="E9" s="39"/>
      <c r="F9" s="40" t="s">
        <v>41</v>
      </c>
      <c r="G9" s="39"/>
      <c r="H9" s="40" t="s">
        <v>42</v>
      </c>
      <c r="I9" s="39"/>
      <c r="J9" s="40" t="s">
        <v>43</v>
      </c>
      <c r="K9" s="39"/>
      <c r="L9" s="40" t="s">
        <v>44</v>
      </c>
      <c r="M9" s="39"/>
      <c r="N9" s="41"/>
    </row>
    <row r="10">
      <c r="A10" s="42"/>
      <c r="B10" s="43"/>
      <c r="C10" s="44"/>
      <c r="D10" s="45"/>
      <c r="E10" s="46"/>
      <c r="F10" s="47"/>
      <c r="G10" s="46"/>
      <c r="H10" s="47"/>
      <c r="I10" s="46"/>
      <c r="J10" s="47"/>
      <c r="K10" s="46"/>
      <c r="L10" s="47"/>
      <c r="M10" s="46"/>
      <c r="N10" s="48"/>
    </row>
    <row r="11">
      <c r="A11" s="42"/>
      <c r="B11" s="49">
        <f>bigstat!B9</f>
        <v>182.7</v>
      </c>
      <c r="C11" s="50"/>
      <c r="D11" s="51">
        <f>bigstat!B4</f>
        <v>4</v>
      </c>
      <c r="E11" s="52"/>
      <c r="F11" s="53">
        <f>bigstat!E9</f>
        <v>1799.7</v>
      </c>
      <c r="G11" s="52"/>
      <c r="H11" s="53">
        <f>bigstat!E4</f>
        <v>39.1</v>
      </c>
      <c r="I11" s="52"/>
      <c r="J11" s="53">
        <f>bigstat!H9</f>
        <v>694</v>
      </c>
      <c r="K11" s="52"/>
      <c r="L11" s="53">
        <f>bigstat!H4</f>
        <v>15.1</v>
      </c>
      <c r="M11" s="52"/>
      <c r="N11" s="48"/>
    </row>
    <row r="12">
      <c r="A12" s="42"/>
      <c r="B12" s="43"/>
      <c r="C12" s="44"/>
      <c r="D12" s="54"/>
      <c r="E12" s="55"/>
      <c r="F12" s="56"/>
      <c r="G12" s="55"/>
      <c r="H12" s="56"/>
      <c r="I12" s="55"/>
      <c r="J12" s="56"/>
      <c r="K12" s="55"/>
      <c r="L12" s="56"/>
      <c r="M12" s="55"/>
      <c r="N12" s="57"/>
    </row>
    <row r="13" ht="15.0" customHeight="1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</row>
    <row r="14" ht="15.0" customHeight="1">
      <c r="A14" s="58" t="str">
        <f>pivots!D13</f>
        <v>Alejandro Gomez</v>
      </c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60"/>
    </row>
    <row r="15" ht="15.0" customHeight="1">
      <c r="A15" s="42"/>
      <c r="N15" s="48"/>
    </row>
    <row r="16" ht="15.0" customHeight="1">
      <c r="A16" s="42"/>
      <c r="N16" s="48"/>
    </row>
    <row r="17" ht="15.0" customHeight="1">
      <c r="A17" s="42"/>
      <c r="N17" s="48"/>
    </row>
    <row r="18" ht="15.0" customHeight="1">
      <c r="A18" s="42"/>
      <c r="N18" s="48"/>
    </row>
    <row r="19" ht="15.0" customHeight="1">
      <c r="A19" s="42"/>
      <c r="N19" s="48"/>
    </row>
    <row r="20">
      <c r="A20" s="42"/>
      <c r="N20" s="48"/>
    </row>
    <row r="21">
      <c r="A21" s="42"/>
      <c r="N21" s="48"/>
    </row>
    <row r="22">
      <c r="A22" s="42"/>
      <c r="N22" s="48"/>
    </row>
    <row r="23">
      <c r="A23" s="42"/>
      <c r="N23" s="48"/>
    </row>
    <row r="24">
      <c r="A24" s="42"/>
      <c r="N24" s="48"/>
    </row>
    <row r="25">
      <c r="A25" s="42"/>
      <c r="N25" s="48"/>
    </row>
    <row r="26">
      <c r="A26" s="42"/>
      <c r="N26" s="48"/>
    </row>
    <row r="27">
      <c r="A27" s="42"/>
      <c r="N27" s="48"/>
    </row>
    <row r="28">
      <c r="A28" s="42"/>
      <c r="N28" s="48"/>
    </row>
    <row r="29">
      <c r="A29" s="42"/>
      <c r="N29" s="48"/>
    </row>
    <row r="30">
      <c r="A30" s="42"/>
      <c r="N30" s="48"/>
    </row>
    <row r="31">
      <c r="A31" s="42"/>
      <c r="N31" s="48"/>
    </row>
    <row r="32">
      <c r="A32" s="42"/>
      <c r="N32" s="48"/>
    </row>
    <row r="33">
      <c r="A33" s="42"/>
      <c r="N33" s="48"/>
    </row>
    <row r="34">
      <c r="A34" s="42"/>
      <c r="N34" s="48"/>
    </row>
    <row r="35">
      <c r="A35" s="42"/>
      <c r="N35" s="48"/>
    </row>
    <row r="36">
      <c r="A36" s="42"/>
      <c r="N36" s="48"/>
    </row>
    <row r="37">
      <c r="A37" s="42"/>
      <c r="N37" s="48"/>
    </row>
    <row r="38">
      <c r="A38" s="42"/>
      <c r="N38" s="48"/>
    </row>
    <row r="39">
      <c r="A39" s="42"/>
      <c r="N39" s="48"/>
    </row>
    <row r="40">
      <c r="A40" s="42"/>
      <c r="N40" s="48"/>
    </row>
    <row r="41">
      <c r="A41" s="42"/>
      <c r="N41" s="48"/>
    </row>
    <row r="42">
      <c r="A42" s="42"/>
      <c r="N42" s="48"/>
    </row>
    <row r="43">
      <c r="A43" s="42"/>
      <c r="N43" s="48"/>
    </row>
    <row r="44">
      <c r="A44" s="42"/>
      <c r="N44" s="48"/>
    </row>
    <row r="45">
      <c r="A45" s="42"/>
      <c r="N45" s="48"/>
    </row>
    <row r="46">
      <c r="A46" s="42"/>
      <c r="N46" s="48"/>
    </row>
    <row r="47">
      <c r="A47" s="42"/>
      <c r="N47" s="48"/>
    </row>
    <row r="48">
      <c r="A48" s="42"/>
      <c r="N48" s="48"/>
    </row>
    <row r="49">
      <c r="A49" s="42"/>
      <c r="N49" s="48"/>
    </row>
    <row r="50">
      <c r="A50" s="42"/>
      <c r="N50" s="48"/>
    </row>
    <row r="51">
      <c r="A51" s="42"/>
      <c r="N51" s="48"/>
    </row>
    <row r="52">
      <c r="A52" s="42"/>
      <c r="N52" s="48"/>
    </row>
    <row r="53">
      <c r="A53" s="42"/>
      <c r="N53" s="48"/>
    </row>
    <row r="54">
      <c r="A54" s="42"/>
      <c r="N54" s="48"/>
    </row>
    <row r="55">
      <c r="A55" s="42"/>
      <c r="N55" s="48"/>
    </row>
    <row r="56">
      <c r="A56" s="42"/>
      <c r="N56" s="48"/>
    </row>
    <row r="57">
      <c r="A57" s="42"/>
      <c r="N57" s="48"/>
    </row>
    <row r="58">
      <c r="A58" s="42"/>
      <c r="N58" s="48"/>
    </row>
    <row r="59">
      <c r="A59" s="42"/>
      <c r="N59" s="48"/>
    </row>
    <row r="60">
      <c r="A60" s="42"/>
      <c r="N60" s="48"/>
    </row>
    <row r="61">
      <c r="A61" s="42"/>
      <c r="N61" s="48"/>
    </row>
    <row r="62">
      <c r="A62" s="42"/>
      <c r="N62" s="48"/>
    </row>
    <row r="63">
      <c r="A63" s="42"/>
      <c r="N63" s="48"/>
    </row>
    <row r="64">
      <c r="A64" s="42"/>
      <c r="N64" s="48"/>
    </row>
    <row r="65">
      <c r="A65" s="42"/>
      <c r="N65" s="48"/>
    </row>
    <row r="66">
      <c r="A66" s="42"/>
      <c r="N66" s="48"/>
    </row>
    <row r="67">
      <c r="A67" s="42"/>
      <c r="N67" s="48"/>
    </row>
    <row r="68">
      <c r="A68" s="42"/>
      <c r="N68" s="48"/>
    </row>
    <row r="69">
      <c r="A69" s="42"/>
      <c r="N69" s="48"/>
    </row>
    <row r="70">
      <c r="A70" s="42"/>
      <c r="N70" s="48"/>
    </row>
    <row r="71">
      <c r="A71" s="42"/>
      <c r="N71" s="48"/>
    </row>
    <row r="72">
      <c r="A72" s="42"/>
      <c r="N72" s="48"/>
    </row>
    <row r="73">
      <c r="A73" s="42"/>
      <c r="N73" s="48"/>
    </row>
    <row r="74">
      <c r="A74" s="42"/>
      <c r="N74" s="48"/>
    </row>
    <row r="75">
      <c r="A75" s="42"/>
      <c r="N75" s="48"/>
    </row>
    <row r="76">
      <c r="A76" s="42"/>
      <c r="N76" s="48"/>
    </row>
    <row r="77">
      <c r="A77" s="42"/>
      <c r="N77" s="48"/>
    </row>
    <row r="78">
      <c r="A78" s="42"/>
      <c r="N78" s="48"/>
    </row>
    <row r="79">
      <c r="A79" s="42"/>
      <c r="N79" s="48"/>
    </row>
    <row r="80">
      <c r="A80" s="42"/>
      <c r="N80" s="48"/>
    </row>
    <row r="81">
      <c r="A81" s="42"/>
      <c r="N81" s="48"/>
    </row>
    <row r="82">
      <c r="A82" s="42"/>
      <c r="N82" s="48"/>
    </row>
    <row r="83">
      <c r="A83" s="42"/>
      <c r="N83" s="48"/>
    </row>
    <row r="84">
      <c r="A84" s="42"/>
      <c r="N84" s="48"/>
    </row>
    <row r="85">
      <c r="A85" s="42"/>
      <c r="N85" s="48"/>
    </row>
    <row r="86" ht="17.25" customHeight="1">
      <c r="A86" s="42"/>
      <c r="N86" s="48"/>
    </row>
    <row r="87" ht="18.0" customHeight="1">
      <c r="A87" s="42"/>
      <c r="N87" s="48"/>
    </row>
    <row r="88" ht="18.0" customHeight="1">
      <c r="A88" s="61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57"/>
    </row>
  </sheetData>
  <mergeCells count="16">
    <mergeCell ref="L9:M10"/>
    <mergeCell ref="N9:N12"/>
    <mergeCell ref="L11:M12"/>
    <mergeCell ref="B11:C12"/>
    <mergeCell ref="D11:E12"/>
    <mergeCell ref="F11:G12"/>
    <mergeCell ref="H11:I12"/>
    <mergeCell ref="J11:K12"/>
    <mergeCell ref="A14:N88"/>
    <mergeCell ref="A1:N6"/>
    <mergeCell ref="A9:A12"/>
    <mergeCell ref="B9:C10"/>
    <mergeCell ref="D9:E10"/>
    <mergeCell ref="F9:G10"/>
    <mergeCell ref="H9:I10"/>
    <mergeCell ref="J9:K10"/>
  </mergeCells>
  <printOptions horizontalCentered="1" verticalCentered="1"/>
  <pageMargins bottom="0.75" footer="0.0" header="0.0" left="0.25" right="0.25" top="0.75"/>
  <pageSetup cellComments="atEnd" orientation="portrait" pageOrder="overThenDown"/>
  <drawing r:id="rId1"/>
</worksheet>
</file>